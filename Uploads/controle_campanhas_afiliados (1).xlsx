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Leia-me" sheetId="1" state="visible" r:id="rId3"/>
    <sheet name="🎯 Produto &amp; Oferta" sheetId="2" state="visible" r:id="rId4"/>
    <sheet name="🌐 Assets &amp; Domínio" sheetId="3" state="visible" r:id="rId5"/>
    <sheet name="⚙️ Config Campanha" sheetId="4" state="visible" r:id="rId6"/>
    <sheet name="🔑 Palavras-chave" sheetId="5" state="visible" r:id="rId7"/>
    <sheet name="🚫 Negativas" sheetId="6" state="visible" r:id="rId8"/>
    <sheet name="✍️ Copy RSA" sheetId="7" state="visible" r:id="rId9"/>
    <sheet name="📊 Controle Diário" sheetId="8" state="visible" r:id="rId10"/>
    <sheet name="📈 Métricas Semanais" sheetId="9" state="visible" r:id="rId11"/>
    <sheet name="💰 Resumo Financeiro" sheetId="10" state="visible" r:id="rId12"/>
  </sheets>
  <definedNames>
    <definedName function="false" hidden="true" localSheetId="6" name="_xlnm._FilterDatabase" vbProcedure="false">'✍️ Copy RSA'!$A$4:$G$19</definedName>
    <definedName function="false" hidden="true" localSheetId="8" name="_xlnm._FilterDatabase" vbProcedure="false">'📈 Métricas Semanais'!$A$5:$P$13</definedName>
    <definedName function="false" hidden="true" localSheetId="7" name="_xlnm._FilterDatabase" vbProcedure="false">'📊 Controle Diário'!$A$4:$O$35</definedName>
    <definedName function="false" hidden="true" localSheetId="4" name="_xlnm._FilterDatabase" vbProcedure="false">'🔑 Palavras-chave'!$A$4:$F$9</definedName>
    <definedName function="false" hidden="true" localSheetId="5" name="_xlnm._FilterDatabase" vbProcedure="false">'🚫 Negativas'!$A$3:$E$13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<sst xmlns="http://schemas.openxmlformats.org/spreadsheetml/2006/main" count="611" uniqueCount="465">
  <si>
    <t xml:space="preserve">📋 CONTROLE DE CAMPANHAS — AFILIADO GOOGLE ADS</t>
  </si>
  <si>
    <t xml:space="preserve">🎯 CONVENÇÃO DE CORES</t>
  </si>
  <si>
    <t xml:space="preserve">🔵 Azul (fundo #dce6f7) → Células para VOCÊ preencher (dados diários, datas, configurações)</t>
  </si>
  <si>
    <t xml:space="preserve">⬜ Cinza (fundo #f0f0f0) → Fórmulas automáticas — NÃO editar</t>
  </si>
  <si>
    <t xml:space="preserve">🟡 Amarelo (fundo #fff2cc) → Metas ajustáveis (ROAS alvo, comissão, amostra mínima)</t>
  </si>
  <si>
    <t xml:space="preserve">🟢 Verde → Performance boa / Aprovado / OK</t>
  </si>
  <si>
    <t xml:space="preserve">🔴 Vermelho → Atenção / Ação necessária / Estouro de caracteres</t>
  </si>
  <si>
    <t xml:space="preserve">📑 ORDEM DE USO DAS ABAS</t>
  </si>
  <si>
    <t xml:space="preserve">1. 📋 Leia-me → Leia estas instruções antes de tudo</t>
  </si>
  <si>
    <t xml:space="preserve">2. 🎯 Produto &amp; Oferta → Verifique os dados do produto (já preenchidos)</t>
  </si>
  <si>
    <t xml:space="preserve">3. 🌐 Assets &amp; Domínio → Complete itens pendentes (⏳) antes de ativar</t>
  </si>
  <si>
    <t xml:space="preserve">4. ⚙️ Config Campanha → Revise configurações, marque checklist, ative campanha</t>
  </si>
  <si>
    <t xml:space="preserve">5. 🔑 Palavras-chave → Consulte keywords ativas; adicione novas na fase 2+</t>
  </si>
  <si>
    <t xml:space="preserve">6. 🚫 Negativas → Adicione termos do Search Terms Report aqui</t>
  </si>
  <si>
    <t xml:space="preserve">7. ✍️ Copy RSA → Verifique headlines/descriptions; ajuste conforme CTR</t>
  </si>
  <si>
    <t xml:space="preserve">8. 📊 Controle Diário → PREENCHA TODOS OS DIAS (2 min) com dados do Google Ads</t>
  </si>
  <si>
    <t xml:space="preserve">9. 📈 Métricas Semanais → Revise toda segunda-feira; siga o veredicto automático</t>
  </si>
  <si>
    <t xml:space="preserve">10. 💰 Resumo Financeiro → Dashboard de performance e projeções</t>
  </si>
  <si>
    <t xml:space="preserve">⏱️ ROTINAS</t>
  </si>
  <si>
    <t xml:space="preserve">Rotina DIÁRIA (2 min) — Aba 📊 Controle Diário:</t>
  </si>
  <si>
    <t xml:space="preserve">  1. Abra o Google Ads → relatório do dia anterior</t>
  </si>
  <si>
    <t xml:space="preserve">  2. Preencha: Impressões, Cliques, Gasto, Conversões</t>
  </si>
  <si>
    <t xml:space="preserve">  3. Verifique o Status do dia (fórmula automática)</t>
  </si>
  <si>
    <t xml:space="preserve">  4. Anote observações relevantes (keywords boas, anomalias)</t>
  </si>
  <si>
    <t xml:space="preserve">Rotina SEMANAL (segunda-feira) — Aba 📈 Métricas Semanais:</t>
  </si>
  <si>
    <t xml:space="preserve">  1. Preencha o período da semana (de/até)</t>
  </si>
  <si>
    <t xml:space="preserve">  2. Confira o VEREDICTO automático</t>
  </si>
  <si>
    <t xml:space="preserve">  3. Tome a ação recomendada (escalar / otimizar / pausar)</t>
  </si>
  <si>
    <t xml:space="preserve">  4. Revise Search Terms Report → adicione negativas na aba 🚫</t>
  </si>
  <si>
    <t xml:space="preserve">⚠️ REGRA DO 3× (CRÍTICA!)</t>
  </si>
  <si>
    <t xml:space="preserve">Se gastar 3× a comissão média ($134 × 3 = $402) sem NENHUMA conversão:</t>
  </si>
  <si>
    <t xml:space="preserve">  → PAUSAR campanha</t>
  </si>
  <si>
    <t xml:space="preserve">  → Verificar: rastreamento OK? Bridge page OK? Oferta competitiva?</t>
  </si>
  <si>
    <t xml:space="preserve">  → Se tudo OK e ainda sem conversão → TROCAR DE OFERTA</t>
  </si>
  <si>
    <t xml:space="preserve">  → A planilha calcula isso automaticamente na aba 📈</t>
  </si>
  <si>
    <t xml:space="preserve">🔄 REGRAS DAS 3 FASES</t>
  </si>
  <si>
    <t xml:space="preserve">FASE 1 — VALIDAÇÃO ($10 / $2 por dia / 5 dias)</t>
  </si>
  <si>
    <t xml:space="preserve">  • Objetivo: COMPRAR DADOS (não esperar vendas)</t>
  </si>
  <si>
    <t xml:space="preserve">  • CPC Manual a $0.80 máximo</t>
  </si>
  <si>
    <t xml:space="preserve">  • Apenas keywords [exact] e "phrase"</t>
  </si>
  <si>
    <t xml:space="preserve">  • Meta: 12-20 cliques, Search Terms Report, CTR por keyword</t>
  </si>
  <si>
    <t xml:space="preserve">  • Decisão: continuar ou ajustar keywords/anúncios</t>
  </si>
  <si>
    <t xml:space="preserve">FASE 2 — OTIMIZAÇÃO ($50)</t>
  </si>
  <si>
    <t xml:space="preserve">  • Cortar keywords com CTR &lt; 2% ou CPC &gt; $1.00</t>
  </si>
  <si>
    <t xml:space="preserve">  • Manter lance manual, testar novos ângulos de copy</t>
  </si>
  <si>
    <t xml:space="preserve">  • Adicionar negativas agressivamente</t>
  </si>
  <si>
    <t xml:space="preserve">  • Meta: 60-100 cliques, 1+ conversão</t>
  </si>
  <si>
    <t xml:space="preserve">FASE 3 — ESCALA ($300+/mês)</t>
  </si>
  <si>
    <t xml:space="preserve">  • Aumentar budget +20-30% por vez (nunca dobrar)</t>
  </si>
  <si>
    <t xml:space="preserve">  • Considerar tCPA após 15-30 conversões</t>
  </si>
  <si>
    <t xml:space="preserve">  • Expandir keywords com novos ângulos</t>
  </si>
  <si>
    <t xml:space="preserve">  • Meta: ROAS ≥ 2.0 sustentável</t>
  </si>
  <si>
    <t xml:space="preserve">🎯 DADOS DO PRODUTO &amp; OFERTA</t>
  </si>
  <si>
    <t xml:space="preserve">Campo</t>
  </si>
  <si>
    <t xml:space="preserve">Valor</t>
  </si>
  <si>
    <t xml:space="preserve">Observação</t>
  </si>
  <si>
    <t xml:space="preserve">Plataforma</t>
  </si>
  <si>
    <t xml:space="preserve">ClickBank</t>
  </si>
  <si>
    <t xml:space="preserve">Nick Afiliado</t>
  </si>
  <si>
    <t xml:space="preserve">genautech</t>
  </si>
  <si>
    <t xml:space="preserve">Vendor</t>
  </si>
  <si>
    <t xml:space="preserve">citrusburn</t>
  </si>
  <si>
    <t xml:space="preserve">Nome do Produto</t>
  </si>
  <si>
    <t xml:space="preserve">CitrusBurn</t>
  </si>
  <si>
    <t xml:space="preserve">HopLink Completo</t>
  </si>
  <si>
    <t xml:space="preserve">https://hop.clickbank.net/?affiliate=genautech&amp;vendor=citrusburn&amp;tid=gads&amp;pid=shop</t>
  </si>
  <si>
    <t xml:space="preserve">Copiar este link na bridge page</t>
  </si>
  <si>
    <t xml:space="preserve">Tracking ID</t>
  </si>
  <si>
    <t xml:space="preserve">gads</t>
  </si>
  <si>
    <t xml:space="preserve">Identifica tráfego do Google Ads</t>
  </si>
  <si>
    <t xml:space="preserve">Landing Page Type</t>
  </si>
  <si>
    <t xml:space="preserve">Shopify Style (pid=shop)</t>
  </si>
  <si>
    <t xml:space="preserve">Melhor para cold traffic</t>
  </si>
  <si>
    <t xml:space="preserve">Comissão %</t>
  </si>
  <si>
    <t xml:space="preserve">85%</t>
  </si>
  <si>
    <t xml:space="preserve">Máxima comissão disponível</t>
  </si>
  <si>
    <t xml:space="preserve">TABELA DE PREÇOS E COMISSÕES</t>
  </si>
  <si>
    <t xml:space="preserve">Produto 1 (2 frascos)</t>
  </si>
  <si>
    <t xml:space="preserve">$158.00</t>
  </si>
  <si>
    <t xml:space="preserve">Comissão: $134.00</t>
  </si>
  <si>
    <t xml:space="preserve">Produto 2 (3 frascos)</t>
  </si>
  <si>
    <t xml:space="preserve">$207.00</t>
  </si>
  <si>
    <t xml:space="preserve">Comissão: $176.00</t>
  </si>
  <si>
    <t xml:space="preserve">Produto 3 (6 frascos)</t>
  </si>
  <si>
    <t xml:space="preserve">$294.00</t>
  </si>
  <si>
    <t xml:space="preserve">Comissão: $250.00</t>
  </si>
  <si>
    <t xml:space="preserve">Comissão Média Conservadora</t>
  </si>
  <si>
    <t xml:space="preserve">$134.00</t>
  </si>
  <si>
    <t xml:space="preserve">Usada para cálculos (pedido menor)</t>
  </si>
  <si>
    <t xml:space="preserve">INFORMAÇÕES DO PRODUTO</t>
  </si>
  <si>
    <t xml:space="preserve">Garantia</t>
  </si>
  <si>
    <t xml:space="preserve">180 dias money-back</t>
  </si>
  <si>
    <t xml:space="preserve">Argumento forte para copy</t>
  </si>
  <si>
    <t xml:space="preserve">Mercado Alvo</t>
  </si>
  <si>
    <t xml:space="preserve">United States</t>
  </si>
  <si>
    <t xml:space="preserve">Público-Alvo</t>
  </si>
  <si>
    <t xml:space="preserve">Mulheres 40-65+ anos</t>
  </si>
  <si>
    <t xml:space="preserve">Foco em menopausa e metabolismo</t>
  </si>
  <si>
    <t xml:space="preserve">Claim Principal</t>
  </si>
  <si>
    <t xml:space="preserve">Seville Orange Peel melts belly fat / Thermogenic Resistance</t>
  </si>
  <si>
    <t xml:space="preserve">Não usar claims médicos absolutos!</t>
  </si>
  <si>
    <t xml:space="preserve">INTEGRAÇÃO GOOGLE ADS</t>
  </si>
  <si>
    <t xml:space="preserve">Status da Integração</t>
  </si>
  <si>
    <t xml:space="preserve">✅ ACTIVE</t>
  </si>
  <si>
    <t xml:space="preserve">ClickBank ↔ Google Ads</t>
  </si>
  <si>
    <t xml:space="preserve">Conta Google Ads</t>
  </si>
  <si>
    <t xml:space="preserve">genaujunior@gmail.com</t>
  </si>
  <si>
    <t xml:space="preserve">Conversão 1</t>
  </si>
  <si>
    <t xml:space="preserve">ClickBank Initial Purchase</t>
  </si>
  <si>
    <t xml:space="preserve">Venda principal</t>
  </si>
  <si>
    <t xml:space="preserve">Conversão 2</t>
  </si>
  <si>
    <t xml:space="preserve">ClickBank Upsell Purchase</t>
  </si>
  <si>
    <t xml:space="preserve">Upsells</t>
  </si>
  <si>
    <t xml:space="preserve">Conversão 3</t>
  </si>
  <si>
    <t xml:space="preserve">ClickBank Order Form Impression</t>
  </si>
  <si>
    <t xml:space="preserve">Visualização do checkout</t>
  </si>
  <si>
    <t xml:space="preserve">REGRAS DO PRODUTOR (PROIBIÇÕES)</t>
  </si>
  <si>
    <t xml:space="preserve">❌ Link direto</t>
  </si>
  <si>
    <t xml:space="preserve">Proibido — usar bridge page</t>
  </si>
  <si>
    <t xml:space="preserve">Obrigatório intermediar</t>
  </si>
  <si>
    <t xml:space="preserve">❌ Palavra 'scam'</t>
  </si>
  <si>
    <t xml:space="preserve">Proibido em anúncios e páginas</t>
  </si>
  <si>
    <t xml:space="preserve">❌ Claims médicos absolutos</t>
  </si>
  <si>
    <t xml:space="preserve">Proibido ('cura', 'trata', 'garante')</t>
  </si>
  <si>
    <t xml:space="preserve">Usar 'supports', 'may help'</t>
  </si>
  <si>
    <t xml:space="preserve">❌ Deepfakes</t>
  </si>
  <si>
    <t xml:space="preserve">Proibido usar IA para simular pessoas</t>
  </si>
  <si>
    <t xml:space="preserve">🌐 ASSETS &amp; DOMÍNIO DA CAMPANHA</t>
  </si>
  <si>
    <t xml:space="preserve">Asset</t>
  </si>
  <si>
    <t xml:space="preserve">Valor / URL</t>
  </si>
  <si>
    <t xml:space="preserve">Status</t>
  </si>
  <si>
    <t xml:space="preserve">Ação Necessária</t>
  </si>
  <si>
    <t xml:space="preserve">DOMÍNIO &amp; PÁGINAS</t>
  </si>
  <si>
    <t xml:space="preserve">Domínio Principal</t>
  </si>
  <si>
    <t xml:space="preserve">getlymphflow.shop</t>
  </si>
  <si>
    <t xml:space="preserve">✅ Ativo</t>
  </si>
  <si>
    <t xml:space="preserve">URL Bridge Page</t>
  </si>
  <si>
    <t xml:space="preserve">getlymphflow.shop/citruspburn</t>
  </si>
  <si>
    <t xml:space="preserve">⏳ Publicar</t>
  </si>
  <si>
    <t xml:space="preserve">Subir HTML para WordPress</t>
  </si>
  <si>
    <t xml:space="preserve">Arquivo HTML Bridge</t>
  </si>
  <si>
    <t xml:space="preserve">/home/ubuntu/citruspburn-bridge.html</t>
  </si>
  <si>
    <t xml:space="preserve">✅ Criado</t>
  </si>
  <si>
    <t xml:space="preserve">Fazer upload ao WordPress</t>
  </si>
  <si>
    <t xml:space="preserve">Headline da Bridge</t>
  </si>
  <si>
    <t xml:space="preserve">Spanish Scientists Discover New Way to Melt Stubborn Belly Fat</t>
  </si>
  <si>
    <t xml:space="preserve">✅ Definido</t>
  </si>
  <si>
    <t xml:space="preserve">CTA da Bridge</t>
  </si>
  <si>
    <t xml:space="preserve">Watch the Free Video Now →</t>
  </si>
  <si>
    <t xml:space="preserve">Página /privacy-policy</t>
  </si>
  <si>
    <t xml:space="preserve">getlymphflow.shop/privacy-policy</t>
  </si>
  <si>
    <t xml:space="preserve">⏳ Fazer</t>
  </si>
  <si>
    <t xml:space="preserve">Criar com plugin WP</t>
  </si>
  <si>
    <t xml:space="preserve">Página /terms</t>
  </si>
  <si>
    <t xml:space="preserve">getlymphflow.shop/terms</t>
  </si>
  <si>
    <t xml:space="preserve">Página /disclaimer</t>
  </si>
  <si>
    <t xml:space="preserve">getlymphflow.shop/disclaimer</t>
  </si>
  <si>
    <t xml:space="preserve">Incluir disclaimer de afiliado</t>
  </si>
  <si>
    <t xml:space="preserve">Página /contact</t>
  </si>
  <si>
    <t xml:space="preserve">getlymphflow.shop/contact</t>
  </si>
  <si>
    <t xml:space="preserve">Formulário ou e-mail</t>
  </si>
  <si>
    <t xml:space="preserve">Imagem do Produto</t>
  </si>
  <si>
    <t xml:space="preserve">Baixar em citrusburn.com/affiliates</t>
  </si>
  <si>
    <t xml:space="preserve">⏳ Baixar</t>
  </si>
  <si>
    <t xml:space="preserve">Usar na bridge page</t>
  </si>
  <si>
    <t xml:space="preserve">GOOGLE ADS — TRACKING</t>
  </si>
  <si>
    <t xml:space="preserve">Google Ads Account ID</t>
  </si>
  <si>
    <t xml:space="preserve">AW-XXXXXXXXXX</t>
  </si>
  <si>
    <t xml:space="preserve">⏳ Preencher</t>
  </si>
  <si>
    <t xml:space="preserve">Pegar no Google Ads → canto superior</t>
  </si>
  <si>
    <t xml:space="preserve">Conversion Label</t>
  </si>
  <si>
    <t xml:space="preserve">(ver no Google Ads)</t>
  </si>
  <si>
    <t xml:space="preserve">Configurações → Conversões</t>
  </si>
  <si>
    <t xml:space="preserve">Auto-tagging</t>
  </si>
  <si>
    <t xml:space="preserve">—</t>
  </si>
  <si>
    <t xml:space="preserve">⏳ Verificar</t>
  </si>
  <si>
    <t xml:space="preserve">Google Ads → Settings → Auto-tagging ON</t>
  </si>
  <si>
    <t xml:space="preserve">CAMPAIGN URL SUFFIX</t>
  </si>
  <si>
    <t xml:space="preserve">URL Suffix Completo</t>
  </si>
  <si>
    <t xml:space="preserve">utm_source=google&amp;utm_medium=cpc&amp;utm_campaign={campaignid}&amp;utm_term={keyword}&amp;utm_content={adgroupid}&amp;traffic_source=google</t>
  </si>
  <si>
    <t xml:space="preserve">Aplicar na campanha</t>
  </si>
  <si>
    <t xml:space="preserve">utm_source</t>
  </si>
  <si>
    <t xml:space="preserve">google</t>
  </si>
  <si>
    <t xml:space="preserve">✅</t>
  </si>
  <si>
    <t xml:space="preserve">utm_medium</t>
  </si>
  <si>
    <t xml:space="preserve">cpc</t>
  </si>
  <si>
    <t xml:space="preserve">utm_campaign</t>
  </si>
  <si>
    <t xml:space="preserve">{campaignid}</t>
  </si>
  <si>
    <t xml:space="preserve">Dinâmico</t>
  </si>
  <si>
    <t xml:space="preserve">utm_term</t>
  </si>
  <si>
    <t xml:space="preserve">{keyword}</t>
  </si>
  <si>
    <t xml:space="preserve">Rastreia keyword</t>
  </si>
  <si>
    <t xml:space="preserve">utm_content</t>
  </si>
  <si>
    <t xml:space="preserve">{adgroupid}</t>
  </si>
  <si>
    <t xml:space="preserve">Rastreia ad group</t>
  </si>
  <si>
    <t xml:space="preserve">traffic_source</t>
  </si>
  <si>
    <t xml:space="preserve">Para ClickBank</t>
  </si>
  <si>
    <t xml:space="preserve">⚙️ CONFIGURAÇÕES DA CAMPANHA GOOGLE ADS</t>
  </si>
  <si>
    <t xml:space="preserve">Configuração</t>
  </si>
  <si>
    <t xml:space="preserve">Verificação</t>
  </si>
  <si>
    <t xml:space="preserve">CONFIGURAÇÕES GERAIS</t>
  </si>
  <si>
    <t xml:space="preserve">Nome da Campanha</t>
  </si>
  <si>
    <t xml:space="preserve">PESQ-METABOLISMO-VENDAS-FASE1</t>
  </si>
  <si>
    <t xml:space="preserve">Tipo de Campanha</t>
  </si>
  <si>
    <t xml:space="preserve">Search</t>
  </si>
  <si>
    <t xml:space="preserve">Objetivo</t>
  </si>
  <si>
    <t xml:space="preserve">Sales / Conversions</t>
  </si>
  <si>
    <t xml:space="preserve">Fase Atual</t>
  </si>
  <si>
    <t xml:space="preserve">Fase 1 — Validação</t>
  </si>
  <si>
    <t xml:space="preserve">Localização</t>
  </si>
  <si>
    <t xml:space="preserve">Idioma</t>
  </si>
  <si>
    <t xml:space="preserve">English</t>
  </si>
  <si>
    <t xml:space="preserve">Rede de Display</t>
  </si>
  <si>
    <t xml:space="preserve">DESATIVADA</t>
  </si>
  <si>
    <t xml:space="preserve">✅ Obrigatório desativar</t>
  </si>
  <si>
    <t xml:space="preserve">Parceiros de Pesquisa</t>
  </si>
  <si>
    <t xml:space="preserve">DESATIVADO</t>
  </si>
  <si>
    <t xml:space="preserve">Config de Local</t>
  </si>
  <si>
    <t xml:space="preserve">Presença: "pessoas EM ou regularmente em"</t>
  </si>
  <si>
    <t xml:space="preserve">✅ Não usar 'interesse'</t>
  </si>
  <si>
    <t xml:space="preserve">BUDGET &amp; LANCES</t>
  </si>
  <si>
    <t xml:space="preserve">Budget Diário Fase 1</t>
  </si>
  <si>
    <t xml:space="preserve">$2.00/dia</t>
  </si>
  <si>
    <t xml:space="preserve">Budget Total Fase 1</t>
  </si>
  <si>
    <t xml:space="preserve">$10.00</t>
  </si>
  <si>
    <t xml:space="preserve">5 dias × $2</t>
  </si>
  <si>
    <t xml:space="preserve">Tipo de Lance</t>
  </si>
  <si>
    <t xml:space="preserve">CPC Manual</t>
  </si>
  <si>
    <t xml:space="preserve">✅ Sem Enhanced CPC</t>
  </si>
  <si>
    <t xml:space="preserve">Lance Máximo CPC</t>
  </si>
  <si>
    <t xml:space="preserve">$0.80</t>
  </si>
  <si>
    <t xml:space="preserve">Não ultrapassar na fase 1</t>
  </si>
  <si>
    <t xml:space="preserve">URLS &amp; TRACKING</t>
  </si>
  <si>
    <t xml:space="preserve">URL Final</t>
  </si>
  <si>
    <t xml:space="preserve">https://getlymphflow.shop/citruspburn</t>
  </si>
  <si>
    <t xml:space="preserve">⏳ Publicar bridge primeiro</t>
  </si>
  <si>
    <t xml:space="preserve">Campaign URL Suffix</t>
  </si>
  <si>
    <t xml:space="preserve">DATAS</t>
  </si>
  <si>
    <t xml:space="preserve">Data de Início</t>
  </si>
  <si>
    <t xml:space="preserve">← Preencher quando ativar</t>
  </si>
  <si>
    <t xml:space="preserve">Data Início Fase 2</t>
  </si>
  <si>
    <t xml:space="preserve">← Calcular: início + 5 dias</t>
  </si>
  <si>
    <t xml:space="preserve">Status da Campanha</t>
  </si>
  <si>
    <t xml:space="preserve">Pausada</t>
  </si>
  <si>
    <t xml:space="preserve">⚠️ Rever checklist antes de ativar</t>
  </si>
  <si>
    <t xml:space="preserve">✅ CHECKLIST PRÉ-ATIVAÇÃO</t>
  </si>
  <si>
    <t xml:space="preserve">☐</t>
  </si>
  <si>
    <t xml:space="preserve">Bridge page publicada e funcionando (testar no celular)</t>
  </si>
  <si>
    <t xml:space="preserve">HopLink na bridge redireciona para página de vendas</t>
  </si>
  <si>
    <t xml:space="preserve">Páginas legais criadas (/privacy, /terms, /disclaimer, /contact)</t>
  </si>
  <si>
    <t xml:space="preserve">Auto-tagging ativado no Google Ads</t>
  </si>
  <si>
    <t xml:space="preserve">Conversões ClickBank aparecendo no Google Ads</t>
  </si>
  <si>
    <t xml:space="preserve">URL Suffix configurado na campanha</t>
  </si>
  <si>
    <t xml:space="preserve">🔑 PALAVRAS-CHAVE DA CAMPANHA</t>
  </si>
  <si>
    <t xml:space="preserve">GRUPO 1 — PROBLEMA (Awareness)</t>
  </si>
  <si>
    <t xml:space="preserve">Keyword</t>
  </si>
  <si>
    <t xml:space="preserve">Tipo de Match</t>
  </si>
  <si>
    <t xml:space="preserve">Intenção</t>
  </si>
  <si>
    <t xml:space="preserve">CPC Estimado</t>
  </si>
  <si>
    <t xml:space="preserve">[slow metabolism after 40]</t>
  </si>
  <si>
    <t xml:space="preserve">Exact</t>
  </si>
  <si>
    <t xml:space="preserve">Problema / Dor</t>
  </si>
  <si>
    <t xml:space="preserve">$0.60</t>
  </si>
  <si>
    <t xml:space="preserve">Ativa</t>
  </si>
  <si>
    <t xml:space="preserve">[thermogenic resistance]</t>
  </si>
  <si>
    <t xml:space="preserve">Problema científico</t>
  </si>
  <si>
    <t xml:space="preserve">$0.50</t>
  </si>
  <si>
    <t xml:space="preserve">[why cant i lose weight after 40]</t>
  </si>
  <si>
    <t xml:space="preserve">$0.70</t>
  </si>
  <si>
    <t xml:space="preserve">[metabolism fix women over 40]</t>
  </si>
  <si>
    <t xml:space="preserve">Problema + Solução</t>
  </si>
  <si>
    <t xml:space="preserve">$0.65</t>
  </si>
  <si>
    <t xml:space="preserve">[belly fat menopause solution]</t>
  </si>
  <si>
    <t xml:space="preserve">GRUPO 2 — SOLUÇÃO (Intent)</t>
  </si>
  <si>
    <t xml:space="preserve">[seville orange weight loss supplement]</t>
  </si>
  <si>
    <t xml:space="preserve">Solução específica</t>
  </si>
  <si>
    <t xml:space="preserve">$0.55</t>
  </si>
  <si>
    <t xml:space="preserve">[citrus burn metabolism]</t>
  </si>
  <si>
    <t xml:space="preserve">Branded / Produto</t>
  </si>
  <si>
    <t xml:space="preserve">[natural thermogenic for women]</t>
  </si>
  <si>
    <t xml:space="preserve">Solução genérica</t>
  </si>
  <si>
    <t xml:space="preserve">[best metabolism booster over 40]</t>
  </si>
  <si>
    <t xml:space="preserve">Solução comparativa</t>
  </si>
  <si>
    <t xml:space="preserve">$0.75</t>
  </si>
  <si>
    <t xml:space="preserve">[spanish orange peel fat burn]</t>
  </si>
  <si>
    <t xml:space="preserve">RESUMO</t>
  </si>
  <si>
    <t xml:space="preserve">Keywords Ativas Grupo 1:</t>
  </si>
  <si>
    <t xml:space="preserve">Keywords Ativas Grupo 2:</t>
  </si>
  <si>
    <t xml:space="preserve">Total Keywords Ativas:</t>
  </si>
  <si>
    <t xml:space="preserve">⚠️ REGRA DE CORRESPONDÊNCIA — FASE 1</t>
  </si>
  <si>
    <t xml:space="preserve">Usar APENAS [exact] e "phrase" match na fase 1. NUNCA usar broad match com budget limitado.</t>
  </si>
  <si>
    <t xml:space="preserve">🚫 PALAVRAS-CHAVE NEGATIVAS</t>
  </si>
  <si>
    <t xml:space="preserve">Palavra Negativa</t>
  </si>
  <si>
    <t xml:space="preserve">Tipo</t>
  </si>
  <si>
    <t xml:space="preserve">Fonte</t>
  </si>
  <si>
    <t xml:space="preserve">Data de Adição</t>
  </si>
  <si>
    <t xml:space="preserve">Motivo</t>
  </si>
  <si>
    <t xml:space="preserve">free</t>
  </si>
  <si>
    <t xml:space="preserve">Pré-definido</t>
  </si>
  <si>
    <t xml:space="preserve">Pré-campanha</t>
  </si>
  <si>
    <t xml:space="preserve">Sem intenção de compra</t>
  </si>
  <si>
    <t xml:space="preserve">youtube</t>
  </si>
  <si>
    <t xml:space="preserve">Busca por vídeo, não compra</t>
  </si>
  <si>
    <t xml:space="preserve">reddit</t>
  </si>
  <si>
    <t xml:space="preserve">Busca por review/forum</t>
  </si>
  <si>
    <t xml:space="preserve">amazon</t>
  </si>
  <si>
    <t xml:space="preserve">Busca em marketplace</t>
  </si>
  <si>
    <t xml:space="preserve">walmart</t>
  </si>
  <si>
    <t xml:space="preserve">scam</t>
  </si>
  <si>
    <t xml:space="preserve">Tráfego negativo + proibido pelo vendor</t>
  </si>
  <si>
    <t xml:space="preserve">side effects</t>
  </si>
  <si>
    <t xml:space="preserve">Phrase</t>
  </si>
  <si>
    <t xml:space="preserve">Intenção de pesquisa, não compra</t>
  </si>
  <si>
    <t xml:space="preserve">lawsuit</t>
  </si>
  <si>
    <t xml:space="preserve">Tráfego negativo</t>
  </si>
  <si>
    <t xml:space="preserve">wikipedia</t>
  </si>
  <si>
    <t xml:space="preserve">Busca informacional</t>
  </si>
  <si>
    <t xml:space="preserve">how to make</t>
  </si>
  <si>
    <t xml:space="preserve">DIY, sem intenção de compra</t>
  </si>
  <si>
    <t xml:space="preserve">💡 INSTRUÇÕES</t>
  </si>
  <si>
    <t xml:space="preserve">• Adicione negativas do Search Terms Report semanalmente (segunda-feira)</t>
  </si>
  <si>
    <t xml:space="preserve">• No Google Ads, crie uma Lista de Negativas compartilhada para reaproveitar entre campanhas</t>
  </si>
  <si>
    <t xml:space="preserve">• Priorize adicionar termos com cliques mas 0 conversões</t>
  </si>
  <si>
    <t xml:space="preserve">✍️ COPY DOS ANÚNCIOS (RSA — Responsive Search Ads)</t>
  </si>
  <si>
    <t xml:space="preserve">SEÇÃO 1 — HEADLINES (máx. 30 caracteres cada)</t>
  </si>
  <si>
    <t xml:space="preserve">#</t>
  </si>
  <si>
    <t xml:space="preserve">Headline</t>
  </si>
  <si>
    <t xml:space="preserve">Caracteres</t>
  </si>
  <si>
    <t xml:space="preserve">Limite</t>
  </si>
  <si>
    <t xml:space="preserve">Ângulo</t>
  </si>
  <si>
    <t xml:space="preserve">Fixar?</t>
  </si>
  <si>
    <t xml:space="preserve">Spanish Orange Peel Burns Belly Fat</t>
  </si>
  <si>
    <t xml:space="preserve">Curiosidade / Ingrediente</t>
  </si>
  <si>
    <t xml:space="preserve">The Real Cause of Slow Metabolism at 40</t>
  </si>
  <si>
    <t xml:space="preserve">Thermogenic Resistance Fix — Watch Now</t>
  </si>
  <si>
    <t xml:space="preserve">Científico / CTA</t>
  </si>
  <si>
    <t xml:space="preserve">Natural Metabolism Booster for Women</t>
  </si>
  <si>
    <t xml:space="preserve">Solução / Gênero</t>
  </si>
  <si>
    <t xml:space="preserve">Seville Orange Melts Fat While You Sleep</t>
  </si>
  <si>
    <t xml:space="preserve">Benefício / Ingrediente</t>
  </si>
  <si>
    <t xml:space="preserve">Going Viral: This Morning Ritual Works</t>
  </si>
  <si>
    <t xml:space="preserve">Social Proof / Curiosidade</t>
  </si>
  <si>
    <t xml:space="preserve">CitrusBurn Official — Limited Stock</t>
  </si>
  <si>
    <t xml:space="preserve">Branded / Urgência</t>
  </si>
  <si>
    <t xml:space="preserve">74% More Thermogenesis Naturally</t>
  </si>
  <si>
    <t xml:space="preserve">Estatística / Científico</t>
  </si>
  <si>
    <t xml:space="preserve">Over 40 and Can't Lose Weight? Try This</t>
  </si>
  <si>
    <t xml:space="preserve">Problema / CTA</t>
  </si>
  <si>
    <t xml:space="preserve">180-Day Guarantee — Risk Free</t>
  </si>
  <si>
    <t xml:space="preserve">Garantia / Confiança</t>
  </si>
  <si>
    <t xml:space="preserve">Made in FDA-Registered USA Facility</t>
  </si>
  <si>
    <t xml:space="preserve">Confiança / Qualidade</t>
  </si>
  <si>
    <t xml:space="preserve">No Stimulants No Jitters No Prescription</t>
  </si>
  <si>
    <t xml:space="preserve">Objeção / Segurança</t>
  </si>
  <si>
    <t xml:space="preserve">Spanish Scientists Discover Fat Burn Fix</t>
  </si>
  <si>
    <t xml:space="preserve">Autoridade / Curiosidade</t>
  </si>
  <si>
    <t xml:space="preserve">Used by 78,000+ American Women</t>
  </si>
  <si>
    <t xml:space="preserve">Social Proof</t>
  </si>
  <si>
    <t xml:space="preserve">Watch the Free Video Today</t>
  </si>
  <si>
    <t xml:space="preserve">CTA Direto</t>
  </si>
  <si>
    <t xml:space="preserve">SEÇÃO 2 — DESCRIPTIONS (máx. 90 caracteres cada)</t>
  </si>
  <si>
    <t xml:space="preserve">Description</t>
  </si>
  <si>
    <t xml:space="preserve">Thermogenic resistance blocks fat loss after 40. Seville Orange targets the root cause naturally. 180-day money-back guarantee. Watch the free video.</t>
  </si>
  <si>
    <t xml:space="preserve">Spanish scientists discovered why diets fail over 40. 100% natural ingredients. FDA-registered facility. No prescription needed. Watch the free video now.</t>
  </si>
  <si>
    <t xml:space="preserve">CitrusBurn uses Seville Orange &amp; Berberine to reset your metabolism. Stimulant-free formula. Results in 60 days or full refund. See the free video today.</t>
  </si>
  <si>
    <t xml:space="preserve">SEÇÃO 3 — DISPLAY PATHS</t>
  </si>
  <si>
    <t xml:space="preserve">Path 1:</t>
  </si>
  <si>
    <t xml:space="preserve">Metabolism</t>
  </si>
  <si>
    <t xml:space="preserve">URL exibida: getlymphflow.shop/Metabolism/Official</t>
  </si>
  <si>
    <t xml:space="preserve">Path 2:</t>
  </si>
  <si>
    <t xml:space="preserve">Official</t>
  </si>
  <si>
    <t xml:space="preserve">⚠️ CHECKLIST DE COMPLIANCE</t>
  </si>
  <si>
    <t xml:space="preserve">✅ Não contém "cure" / "cura" / "treat" / "trata"</t>
  </si>
  <si>
    <t xml:space="preserve">✅ Não contém "guarantee weight loss" (claim absoluto)</t>
  </si>
  <si>
    <t xml:space="preserve">✅ Não contém "scam"</t>
  </si>
  <si>
    <t xml:space="preserve">✅ Não contém claims médicos diretos</t>
  </si>
  <si>
    <t xml:space="preserve">✅ Usa linguagem condicional ("may help", "supports", "targets")</t>
  </si>
  <si>
    <t xml:space="preserve">✅ Inclui "Watch the free video" como CTA (não venda direta)</t>
  </si>
  <si>
    <t xml:space="preserve">📊 CONTROLE DIÁRIO DE PERFORMANCE</t>
  </si>
  <si>
    <t xml:space="preserve">Preencha as células AZUIS diariamente com dados do Google Ads. As fórmulas calculam o resto automaticamente.</t>
  </si>
  <si>
    <t xml:space="preserve">AZUL</t>
  </si>
  <si>
    <t xml:space="preserve">Fórmula</t>
  </si>
  <si>
    <t xml:space="preserve">Data</t>
  </si>
  <si>
    <t xml:space="preserve">Dia da Semana</t>
  </si>
  <si>
    <t xml:space="preserve">Fase</t>
  </si>
  <si>
    <t xml:space="preserve">Impressões</t>
  </si>
  <si>
    <t xml:space="preserve">Cliques</t>
  </si>
  <si>
    <t xml:space="preserve">Gasto (USD)</t>
  </si>
  <si>
    <t xml:space="preserve">Conversões</t>
  </si>
  <si>
    <t xml:space="preserve">CTR</t>
  </si>
  <si>
    <t xml:space="preserve">CPC Médio</t>
  </si>
  <si>
    <t xml:space="preserve">CPA</t>
  </si>
  <si>
    <t xml:space="preserve">Receita</t>
  </si>
  <si>
    <t xml:space="preserve">ROAS</t>
  </si>
  <si>
    <t xml:space="preserve">Lucro</t>
  </si>
  <si>
    <t xml:space="preserve">Status do Dia</t>
  </si>
  <si>
    <t xml:space="preserve">Observações</t>
  </si>
  <si>
    <t xml:space="preserve">← Exemplo: preencha assim</t>
  </si>
  <si>
    <t xml:space="preserve">TOTAIS / MÉDIAS</t>
  </si>
  <si>
    <t xml:space="preserve">⚠️ ALERTA REGRA 3×:</t>
  </si>
  <si>
    <t xml:space="preserve">📈 MÉTRICAS SEMANAIS — CONSOLIDAÇÃO</t>
  </si>
  <si>
    <t xml:space="preserve">METAS AJUSTÁVEIS →</t>
  </si>
  <si>
    <t xml:space="preserve">Meta ROAS:</t>
  </si>
  <si>
    <t xml:space="preserve">Comissão Média:</t>
  </si>
  <si>
    <t xml:space="preserve">Regra 3×:</t>
  </si>
  <si>
    <t xml:space="preserve">Amostra Mínima:</t>
  </si>
  <si>
    <t xml:space="preserve">Semana #</t>
  </si>
  <si>
    <t xml:space="preserve">De</t>
  </si>
  <si>
    <t xml:space="preserve">Até</t>
  </si>
  <si>
    <t xml:space="preserve">CTR Médio</t>
  </si>
  <si>
    <t xml:space="preserve">Amostra?</t>
  </si>
  <si>
    <t xml:space="preserve">Veredicto</t>
  </si>
  <si>
    <t xml:space="preserve">Ação Tomada</t>
  </si>
  <si>
    <t xml:space="preserve">💰 RESUMO FINANCEIRO — DASHBOARD</t>
  </si>
  <si>
    <t xml:space="preserve">CONFIGURAÇÃO</t>
  </si>
  <si>
    <t xml:space="preserve">Comissão Conservadora</t>
  </si>
  <si>
    <t xml:space="preserve">Comissão Média Esperada</t>
  </si>
  <si>
    <t xml:space="preserve">Meta ROAS</t>
  </si>
  <si>
    <t xml:space="preserve">Budget Fase 1</t>
  </si>
  <si>
    <t xml:space="preserve">Budget Fase 2</t>
  </si>
  <si>
    <t xml:space="preserve">Budget Fase 3</t>
  </si>
  <si>
    <t xml:space="preserve">ACUMULADO (dados da aba Controle Diário)</t>
  </si>
  <si>
    <t xml:space="preserve">Total Investido</t>
  </si>
  <si>
    <t xml:space="preserve">Total de Cliques</t>
  </si>
  <si>
    <t xml:space="preserve">Total de Conversões</t>
  </si>
  <si>
    <t xml:space="preserve">Receita Total</t>
  </si>
  <si>
    <t xml:space="preserve">Lucro Total</t>
  </si>
  <si>
    <t xml:space="preserve">ROAS Acumulado</t>
  </si>
  <si>
    <t xml:space="preserve">CPA Acumulado</t>
  </si>
  <si>
    <t xml:space="preserve">CTR Médio Geral</t>
  </si>
  <si>
    <t xml:space="preserve">PROJEÇÕES POR FASE</t>
  </si>
  <si>
    <t xml:space="preserve">Investimento</t>
  </si>
  <si>
    <t xml:space="preserve">Cliques Esperados</t>
  </si>
  <si>
    <t xml:space="preserve">Receita Estimada</t>
  </si>
  <si>
    <t xml:space="preserve">Lucro Estimado</t>
  </si>
  <si>
    <t xml:space="preserve">$10</t>
  </si>
  <si>
    <t xml:space="preserve">12–20</t>
  </si>
  <si>
    <t xml:space="preserve">0–1</t>
  </si>
  <si>
    <t xml:space="preserve">$0–$134</t>
  </si>
  <si>
    <t xml:space="preserve">Meta: dados</t>
  </si>
  <si>
    <t xml:space="preserve">Fase 2 — Otimização</t>
  </si>
  <si>
    <t xml:space="preserve">$50</t>
  </si>
  <si>
    <t xml:space="preserve">60–100</t>
  </si>
  <si>
    <t xml:space="preserve">1</t>
  </si>
  <si>
    <t xml:space="preserve">$134–$250</t>
  </si>
  <si>
    <t xml:space="preserve">$84–$200</t>
  </si>
  <si>
    <t xml:space="preserve">Fase 3 — Escala</t>
  </si>
  <si>
    <t xml:space="preserve">$300/mês</t>
  </si>
  <si>
    <t xml:space="preserve">375–600</t>
  </si>
  <si>
    <t xml:space="preserve">3–5</t>
  </si>
  <si>
    <t xml:space="preserve">$400–$1.250</t>
  </si>
  <si>
    <t xml:space="preserve">$100–$952</t>
  </si>
  <si>
    <t xml:space="preserve">ANÁLISE DE BREAKEVEN</t>
  </si>
  <si>
    <t xml:space="preserve">CPC Máximo Sustentável</t>
  </si>
  <si>
    <t xml:space="preserve">Comissão × Taxa de conversão esperada</t>
  </si>
  <si>
    <t xml:space="preserve">Taxa Conversão p/ Breakeven (CPC $0.80)</t>
  </si>
  <si>
    <t xml:space="preserve">CPC / Comissão = mínimo para não perder</t>
  </si>
  <si>
    <t xml:space="preserve">Taxa Conversão p/ ROAS 2.0</t>
  </si>
  <si>
    <t xml:space="preserve">CPC × Meta ROAS / Comissão</t>
  </si>
  <si>
    <t xml:space="preserve">Taxa Conversão Esperada (estimativa)</t>
  </si>
  <si>
    <t xml:space="preserve">Ajuste conforme dados reais (célula amarela)</t>
  </si>
  <si>
    <t xml:space="preserve">GRÁFICO: GASTO vs. RECEITA ACUMULADOS</t>
  </si>
  <si>
    <t xml:space="preserve">Métrica</t>
  </si>
  <si>
    <t xml:space="preserve">Valor Acumulado</t>
  </si>
  <si>
    <t xml:space="preserve">Gasto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</si>
</sst>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\$#,##0.00"/>
    <numFmt numFmtId="167" formatCode="0.0%"/>
    <numFmt numFmtId="168" formatCode="0.00"/>
    <numFmt numFmtId="169" formatCode="0.0"/>
    <numFmt numFmtId="170" formatCode="#,##0"/>
    <numFmt numFmtId="171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F4E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A2F4E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404040"/>
      <name val="Calibri"/>
      <family val="0"/>
      <charset val="1"/>
    </font>
    <font>
      <b val="true"/>
      <sz val="11"/>
      <color rgb="FF404040"/>
      <name val="Calibri"/>
      <family val="0"/>
      <charset val="1"/>
    </font>
    <font>
      <sz val="11"/>
      <color rgb="FFCC000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2F4E"/>
        <bgColor rgb="FF404040"/>
      </patternFill>
    </fill>
    <fill>
      <patternFill patternType="solid">
        <fgColor rgb="FFE8EEF7"/>
        <bgColor rgb="FFF0F0F0"/>
      </patternFill>
    </fill>
    <fill>
      <patternFill patternType="solid">
        <fgColor rgb="FFC6EFCE"/>
        <bgColor rgb="FFDCE6F7"/>
      </patternFill>
    </fill>
    <fill>
      <patternFill patternType="solid">
        <fgColor rgb="FFFFF2CC"/>
        <bgColor rgb="FFF0F0F0"/>
      </patternFill>
    </fill>
    <fill>
      <patternFill patternType="solid">
        <fgColor rgb="FFDCE6F7"/>
        <bgColor rgb="FFE8EEF7"/>
      </patternFill>
    </fill>
    <fill>
      <patternFill patternType="solid">
        <fgColor rgb="FFF0F0F0"/>
        <bgColor rgb="FFE8EEF7"/>
      </patternFill>
    </fill>
    <fill>
      <patternFill patternType="solid">
        <fgColor rgb="FFD9D9D9"/>
        <bgColor rgb="FFDCE6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A2F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DCE6F7"/>
          <bgColor rgb="FF000000"/>
        </patternFill>
      </fill>
    </dxf>
    <dxf>
      <font>
        <name val="Calibri"/>
        <charset val="1"/>
        <family val="0"/>
        <color rgb="FFCC0000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100"/>
      <rgbColor rgb="FF000080"/>
      <rgbColor rgb="FF808000"/>
      <rgbColor rgb="FF800080"/>
      <rgbColor rgb="FF3498DB"/>
      <rgbColor rgb="FFB0B0B0"/>
      <rgbColor rgb="FF878787"/>
      <rgbColor rgb="FF5B9BD5"/>
      <rgbColor rgb="FF7030A0"/>
      <rgbColor rgb="FFFFF2CC"/>
      <rgbColor rgb="FFE8EEF7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7"/>
      <rgbColor rgb="FFC6EFCE"/>
      <rgbColor rgb="FFF0F0F0"/>
      <rgbColor rgb="FF9DC3E6"/>
      <rgbColor rgb="FFF9F9F9"/>
      <rgbColor rgb="FFCC99FF"/>
      <rgbColor rgb="FFFFC7CE"/>
      <rgbColor rgb="FF4472C4"/>
      <rgbColor rgb="FF2ECC71"/>
      <rgbColor rgb="FF99CC00"/>
      <rgbColor rgb="FFFFC000"/>
      <rgbColor rgb="FFFF9900"/>
      <rgbColor rgb="FFED7D31"/>
      <rgbColor rgb="FF666666"/>
      <rgbColor rgb="FF70AD47"/>
      <rgbColor rgb="FF1A2F4E"/>
      <rgbColor rgb="FF00B050"/>
      <rgbColor rgb="FF003300"/>
      <rgbColor rgb="FF333300"/>
      <rgbColor rgb="FF993300"/>
      <rgbColor rgb="FFE74C3C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Gasto vs. Receita vs. Lucro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'💰 Resumo Financeiro'!B38</c:f>
              <c:strCache>
                <c:ptCount val="1"/>
                <c:pt idx="0">
                  <c:v>Valor Acumulado</c:v>
                </c:pt>
              </c:strCache>
            </c:strRef>
          </c:tx>
          <c:spPr>
            <a:solidFill>
              <a:srgbClr val="ff6b6b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2ecc7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3498d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Resumo Financeiro'!$A$39:$A$41</c:f>
              <c:strCache>
                <c:ptCount val="3"/>
                <c:pt idx="0">
                  <c:v>Gasto Total</c:v>
                </c:pt>
                <c:pt idx="1">
                  <c:v>Receita Total</c:v>
                </c:pt>
                <c:pt idx="2">
                  <c:v>Lucro Total</c:v>
                </c:pt>
              </c:strCache>
            </c:strRef>
          </c:cat>
          <c:val>
            <c:numRef>
              <c:f>'💰 Resumo Financeiro'!$B$39:$B$41</c:f>
              <c:numCache>
                <c:formatCode>\$#,##0.00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6557323"/>
        <c:axId val="67652414"/>
      </c:barChart>
      <c:catAx>
        <c:axId val="46557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52414"/>
        <c:crosses val="autoZero"/>
        <c:auto val="1"/>
        <c:lblAlgn val="ctr"/>
        <c:lblOffset val="100"/>
        <c:noMultiLvlLbl val="0"/>
      </c:catAx>
      <c:valAx>
        <c:axId val="67652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57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160560</xdr:rowOff>
    </xdr:from>
    <xdr:to>
      <xdr:col>2</xdr:col>
      <xdr:colOff>65520</xdr:colOff>
      <xdr:row>60</xdr:row>
      <xdr:rowOff>140760</xdr:rowOff>
    </xdr:to>
    <xdr:graphicFrame>
      <xdr:nvGraphicFramePr>
        <xdr:cNvPr id="0" name="Chart 1"/>
        <xdr:cNvGraphicFramePr/>
      </xdr:nvGraphicFramePr>
      <xdr:xfrm>
        <a:off x="0" y="80010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F4E"/>
    <pageSetUpPr fitToPage="false"/>
  </sheetPr>
  <dimension ref="A1:A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4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4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4" t="s">
        <v>36</v>
      </c>
    </row>
    <row r="45" customFormat="false" ht="15" hidden="false" customHeight="false" outlineLevel="0" collapsed="false">
      <c r="A45" s="2" t="s">
        <v>37</v>
      </c>
    </row>
    <row r="46" customFormat="false" ht="15" hidden="false" customHeight="false" outlineLevel="0" collapsed="false">
      <c r="A46" s="2" t="s">
        <v>38</v>
      </c>
    </row>
    <row r="47" customFormat="false" ht="15" hidden="false" customHeight="false" outlineLevel="0" collapsed="false">
      <c r="A47" s="2" t="s">
        <v>39</v>
      </c>
    </row>
    <row r="48" customFormat="false" ht="15" hidden="false" customHeight="false" outlineLevel="0" collapsed="false">
      <c r="A48" s="2" t="s">
        <v>40</v>
      </c>
    </row>
    <row r="49" customFormat="false" ht="15" hidden="false" customHeight="false" outlineLevel="0" collapsed="false">
      <c r="A49" s="2" t="s">
        <v>41</v>
      </c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4" t="s">
        <v>42</v>
      </c>
    </row>
    <row r="52" customFormat="false" ht="15" hidden="false" customHeight="false" outlineLevel="0" collapsed="false">
      <c r="A52" s="2" t="s">
        <v>43</v>
      </c>
    </row>
    <row r="53" customFormat="false" ht="15" hidden="false" customHeight="false" outlineLevel="0" collapsed="false">
      <c r="A53" s="2" t="s">
        <v>44</v>
      </c>
    </row>
    <row r="54" customFormat="false" ht="15" hidden="false" customHeight="false" outlineLevel="0" collapsed="false">
      <c r="A54" s="2" t="s">
        <v>45</v>
      </c>
    </row>
    <row r="55" customFormat="false" ht="15" hidden="false" customHeight="false" outlineLevel="0" collapsed="false">
      <c r="A55" s="2" t="s">
        <v>46</v>
      </c>
    </row>
    <row r="56" customFormat="false" ht="15" hidden="false" customHeight="false" outlineLevel="0" collapsed="false">
      <c r="A56" s="2"/>
    </row>
    <row r="57" customFormat="false" ht="15" hidden="false" customHeight="false" outlineLevel="0" collapsed="false">
      <c r="A57" s="4" t="s">
        <v>47</v>
      </c>
    </row>
    <row r="58" customFormat="false" ht="15" hidden="false" customHeight="false" outlineLevel="0" collapsed="false">
      <c r="A58" s="2" t="s">
        <v>48</v>
      </c>
    </row>
    <row r="59" customFormat="false" ht="15" hidden="false" customHeight="false" outlineLevel="0" collapsed="false">
      <c r="A59" s="2" t="s">
        <v>49</v>
      </c>
    </row>
    <row r="60" customFormat="false" ht="15" hidden="false" customHeight="false" outlineLevel="0" collapsed="false">
      <c r="A60" s="2" t="s">
        <v>50</v>
      </c>
    </row>
    <row r="61" customFormat="false" ht="15" hidden="false" customHeight="false" outlineLevel="0" collapsed="false">
      <c r="A61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5" t="s">
        <v>52</v>
      </c>
      <c r="B1" s="5"/>
      <c r="C1" s="5"/>
    </row>
    <row r="3" customFormat="false" ht="15" hidden="false" customHeight="false" outlineLevel="0" collapsed="false">
      <c r="A3" s="6" t="s">
        <v>53</v>
      </c>
      <c r="B3" s="6" t="s">
        <v>54</v>
      </c>
      <c r="C3" s="6" t="s">
        <v>55</v>
      </c>
    </row>
    <row r="4" customFormat="false" ht="15" hidden="false" customHeight="false" outlineLevel="0" collapsed="false">
      <c r="A4" s="7" t="s">
        <v>56</v>
      </c>
      <c r="B4" s="8" t="s">
        <v>57</v>
      </c>
      <c r="C4" s="8"/>
    </row>
    <row r="5" customFormat="false" ht="15" hidden="false" customHeight="false" outlineLevel="0" collapsed="false">
      <c r="A5" s="7" t="s">
        <v>58</v>
      </c>
      <c r="B5" s="8" t="s">
        <v>59</v>
      </c>
      <c r="C5" s="8"/>
    </row>
    <row r="6" customFormat="false" ht="15" hidden="false" customHeight="false" outlineLevel="0" collapsed="false">
      <c r="A6" s="7" t="s">
        <v>60</v>
      </c>
      <c r="B6" s="8" t="s">
        <v>61</v>
      </c>
      <c r="C6" s="8"/>
    </row>
    <row r="7" customFormat="false" ht="15" hidden="false" customHeight="false" outlineLevel="0" collapsed="false">
      <c r="A7" s="7" t="s">
        <v>62</v>
      </c>
      <c r="B7" s="8" t="s">
        <v>63</v>
      </c>
      <c r="C7" s="8"/>
    </row>
    <row r="8" customFormat="false" ht="28.35" hidden="false" customHeight="false" outlineLevel="0" collapsed="false">
      <c r="A8" s="7" t="s">
        <v>64</v>
      </c>
      <c r="B8" s="8" t="s">
        <v>65</v>
      </c>
      <c r="C8" s="8" t="s">
        <v>66</v>
      </c>
    </row>
    <row r="9" customFormat="false" ht="15" hidden="false" customHeight="false" outlineLevel="0" collapsed="false">
      <c r="A9" s="7" t="s">
        <v>67</v>
      </c>
      <c r="B9" s="8" t="s">
        <v>68</v>
      </c>
      <c r="C9" s="8" t="s">
        <v>69</v>
      </c>
    </row>
    <row r="10" customFormat="false" ht="15" hidden="false" customHeight="false" outlineLevel="0" collapsed="false">
      <c r="A10" s="7" t="s">
        <v>70</v>
      </c>
      <c r="B10" s="8" t="s">
        <v>71</v>
      </c>
      <c r="C10" s="8" t="s">
        <v>72</v>
      </c>
    </row>
    <row r="11" customFormat="false" ht="15" hidden="false" customHeight="false" outlineLevel="0" collapsed="false">
      <c r="A11" s="7" t="s">
        <v>73</v>
      </c>
      <c r="B11" s="8" t="s">
        <v>74</v>
      </c>
      <c r="C11" s="8" t="s">
        <v>75</v>
      </c>
    </row>
    <row r="12" customFormat="false" ht="15" hidden="false" customHeight="false" outlineLevel="0" collapsed="false">
      <c r="A12" s="7"/>
      <c r="B12" s="8"/>
      <c r="C12" s="8"/>
    </row>
    <row r="13" customFormat="false" ht="15" hidden="false" customHeight="false" outlineLevel="0" collapsed="false">
      <c r="A13" s="9" t="s">
        <v>76</v>
      </c>
      <c r="B13" s="9"/>
      <c r="C13" s="9"/>
    </row>
    <row r="14" customFormat="false" ht="15" hidden="false" customHeight="false" outlineLevel="0" collapsed="false">
      <c r="A14" s="7" t="s">
        <v>77</v>
      </c>
      <c r="B14" s="8" t="s">
        <v>78</v>
      </c>
      <c r="C14" s="8" t="s">
        <v>79</v>
      </c>
    </row>
    <row r="15" customFormat="false" ht="15" hidden="false" customHeight="false" outlineLevel="0" collapsed="false">
      <c r="A15" s="7" t="s">
        <v>80</v>
      </c>
      <c r="B15" s="8" t="s">
        <v>81</v>
      </c>
      <c r="C15" s="8" t="s">
        <v>82</v>
      </c>
    </row>
    <row r="16" customFormat="false" ht="15" hidden="false" customHeight="false" outlineLevel="0" collapsed="false">
      <c r="A16" s="7" t="s">
        <v>83</v>
      </c>
      <c r="B16" s="8" t="s">
        <v>84</v>
      </c>
      <c r="C16" s="8" t="s">
        <v>85</v>
      </c>
    </row>
    <row r="17" customFormat="false" ht="15" hidden="false" customHeight="false" outlineLevel="0" collapsed="false">
      <c r="A17" s="7" t="s">
        <v>86</v>
      </c>
      <c r="B17" s="8" t="s">
        <v>87</v>
      </c>
      <c r="C17" s="8" t="s">
        <v>88</v>
      </c>
    </row>
    <row r="18" customFormat="false" ht="15" hidden="false" customHeight="false" outlineLevel="0" collapsed="false">
      <c r="A18" s="7"/>
      <c r="B18" s="8"/>
      <c r="C18" s="8"/>
    </row>
    <row r="19" customFormat="false" ht="15" hidden="false" customHeight="false" outlineLevel="0" collapsed="false">
      <c r="A19" s="9" t="s">
        <v>89</v>
      </c>
      <c r="B19" s="9"/>
      <c r="C19" s="9"/>
    </row>
    <row r="20" customFormat="false" ht="15" hidden="false" customHeight="false" outlineLevel="0" collapsed="false">
      <c r="A20" s="7" t="s">
        <v>90</v>
      </c>
      <c r="B20" s="8" t="s">
        <v>91</v>
      </c>
      <c r="C20" s="8" t="s">
        <v>92</v>
      </c>
    </row>
    <row r="21" customFormat="false" ht="15" hidden="false" customHeight="false" outlineLevel="0" collapsed="false">
      <c r="A21" s="7" t="s">
        <v>93</v>
      </c>
      <c r="B21" s="8" t="s">
        <v>94</v>
      </c>
      <c r="C21" s="8"/>
    </row>
    <row r="22" customFormat="false" ht="15" hidden="false" customHeight="false" outlineLevel="0" collapsed="false">
      <c r="A22" s="7" t="s">
        <v>95</v>
      </c>
      <c r="B22" s="8" t="s">
        <v>96</v>
      </c>
      <c r="C22" s="8" t="s">
        <v>97</v>
      </c>
    </row>
    <row r="23" customFormat="false" ht="15" hidden="false" customHeight="false" outlineLevel="0" collapsed="false">
      <c r="A23" s="7" t="s">
        <v>98</v>
      </c>
      <c r="B23" s="8" t="s">
        <v>99</v>
      </c>
      <c r="C23" s="8" t="s">
        <v>100</v>
      </c>
    </row>
    <row r="24" customFormat="false" ht="15" hidden="false" customHeight="false" outlineLevel="0" collapsed="false">
      <c r="A24" s="7"/>
      <c r="B24" s="8"/>
      <c r="C24" s="8"/>
    </row>
    <row r="25" customFormat="false" ht="15" hidden="false" customHeight="false" outlineLevel="0" collapsed="false">
      <c r="A25" s="9" t="s">
        <v>101</v>
      </c>
      <c r="B25" s="9"/>
      <c r="C25" s="9"/>
    </row>
    <row r="26" customFormat="false" ht="15" hidden="false" customHeight="false" outlineLevel="0" collapsed="false">
      <c r="A26" s="7" t="s">
        <v>102</v>
      </c>
      <c r="B26" s="8" t="s">
        <v>103</v>
      </c>
      <c r="C26" s="8" t="s">
        <v>104</v>
      </c>
    </row>
    <row r="27" customFormat="false" ht="15" hidden="false" customHeight="false" outlineLevel="0" collapsed="false">
      <c r="A27" s="7" t="s">
        <v>105</v>
      </c>
      <c r="B27" s="8" t="s">
        <v>106</v>
      </c>
      <c r="C27" s="8"/>
    </row>
    <row r="28" customFormat="false" ht="15" hidden="false" customHeight="false" outlineLevel="0" collapsed="false">
      <c r="A28" s="7" t="s">
        <v>107</v>
      </c>
      <c r="B28" s="8" t="s">
        <v>108</v>
      </c>
      <c r="C28" s="8" t="s">
        <v>109</v>
      </c>
    </row>
    <row r="29" customFormat="false" ht="15" hidden="false" customHeight="false" outlineLevel="0" collapsed="false">
      <c r="A29" s="7" t="s">
        <v>110</v>
      </c>
      <c r="B29" s="8" t="s">
        <v>111</v>
      </c>
      <c r="C29" s="8" t="s">
        <v>112</v>
      </c>
    </row>
    <row r="30" customFormat="false" ht="15" hidden="false" customHeight="false" outlineLevel="0" collapsed="false">
      <c r="A30" s="7" t="s">
        <v>113</v>
      </c>
      <c r="B30" s="8" t="s">
        <v>114</v>
      </c>
      <c r="C30" s="8" t="s">
        <v>115</v>
      </c>
    </row>
    <row r="31" customFormat="false" ht="15" hidden="false" customHeight="false" outlineLevel="0" collapsed="false">
      <c r="A31" s="7"/>
      <c r="B31" s="8"/>
      <c r="C31" s="8"/>
    </row>
    <row r="32" customFormat="false" ht="28.35" hidden="false" customHeight="false" outlineLevel="0" collapsed="false">
      <c r="A32" s="9" t="s">
        <v>116</v>
      </c>
      <c r="B32" s="9"/>
      <c r="C32" s="9"/>
    </row>
    <row r="33" customFormat="false" ht="15" hidden="false" customHeight="false" outlineLevel="0" collapsed="false">
      <c r="A33" s="7" t="s">
        <v>117</v>
      </c>
      <c r="B33" s="8" t="s">
        <v>118</v>
      </c>
      <c r="C33" s="8" t="s">
        <v>119</v>
      </c>
    </row>
    <row r="34" customFormat="false" ht="15" hidden="false" customHeight="false" outlineLevel="0" collapsed="false">
      <c r="A34" s="7" t="s">
        <v>120</v>
      </c>
      <c r="B34" s="8" t="s">
        <v>121</v>
      </c>
      <c r="C34" s="8"/>
    </row>
    <row r="35" customFormat="false" ht="15" hidden="false" customHeight="false" outlineLevel="0" collapsed="false">
      <c r="A35" s="7" t="s">
        <v>122</v>
      </c>
      <c r="B35" s="8" t="s">
        <v>123</v>
      </c>
      <c r="C35" s="8" t="s">
        <v>124</v>
      </c>
    </row>
    <row r="36" customFormat="false" ht="15" hidden="false" customHeight="false" outlineLevel="0" collapsed="false">
      <c r="A36" s="7" t="s">
        <v>125</v>
      </c>
      <c r="B36" s="8" t="s">
        <v>126</v>
      </c>
      <c r="C36" s="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17.35" hidden="false" customHeight="false" outlineLevel="0" collapsed="false">
      <c r="A1" s="5" t="s">
        <v>127</v>
      </c>
      <c r="B1" s="5"/>
      <c r="C1" s="5"/>
      <c r="D1" s="5"/>
    </row>
    <row r="3" customFormat="false" ht="15" hidden="false" customHeight="false" outlineLevel="0" collapsed="false">
      <c r="A3" s="6" t="s">
        <v>128</v>
      </c>
      <c r="B3" s="6" t="s">
        <v>129</v>
      </c>
      <c r="C3" s="6" t="s">
        <v>130</v>
      </c>
      <c r="D3" s="6" t="s">
        <v>131</v>
      </c>
    </row>
    <row r="4" customFormat="false" ht="15" hidden="false" customHeight="false" outlineLevel="0" collapsed="false">
      <c r="A4" s="9" t="s">
        <v>132</v>
      </c>
      <c r="B4" s="9"/>
      <c r="C4" s="9"/>
      <c r="D4" s="9"/>
    </row>
    <row r="5" customFormat="false" ht="15" hidden="false" customHeight="false" outlineLevel="0" collapsed="false">
      <c r="A5" s="8" t="s">
        <v>133</v>
      </c>
      <c r="B5" s="8" t="s">
        <v>134</v>
      </c>
      <c r="C5" s="10" t="s">
        <v>135</v>
      </c>
      <c r="D5" s="8"/>
    </row>
    <row r="6" customFormat="false" ht="15" hidden="false" customHeight="false" outlineLevel="0" collapsed="false">
      <c r="A6" s="8" t="s">
        <v>136</v>
      </c>
      <c r="B6" s="8" t="s">
        <v>137</v>
      </c>
      <c r="C6" s="11" t="s">
        <v>138</v>
      </c>
      <c r="D6" s="8" t="s">
        <v>139</v>
      </c>
    </row>
    <row r="7" customFormat="false" ht="15" hidden="false" customHeight="false" outlineLevel="0" collapsed="false">
      <c r="A7" s="8" t="s">
        <v>140</v>
      </c>
      <c r="B7" s="8" t="s">
        <v>141</v>
      </c>
      <c r="C7" s="10" t="s">
        <v>142</v>
      </c>
      <c r="D7" s="8" t="s">
        <v>143</v>
      </c>
    </row>
    <row r="8" customFormat="false" ht="15" hidden="false" customHeight="false" outlineLevel="0" collapsed="false">
      <c r="A8" s="8" t="s">
        <v>144</v>
      </c>
      <c r="B8" s="8" t="s">
        <v>145</v>
      </c>
      <c r="C8" s="10" t="s">
        <v>146</v>
      </c>
      <c r="D8" s="8"/>
    </row>
    <row r="9" customFormat="false" ht="15" hidden="false" customHeight="false" outlineLevel="0" collapsed="false">
      <c r="A9" s="8" t="s">
        <v>147</v>
      </c>
      <c r="B9" s="8" t="s">
        <v>148</v>
      </c>
      <c r="C9" s="10" t="s">
        <v>146</v>
      </c>
      <c r="D9" s="8"/>
    </row>
    <row r="10" customFormat="false" ht="15" hidden="false" customHeight="false" outlineLevel="0" collapsed="false">
      <c r="A10" s="8" t="s">
        <v>149</v>
      </c>
      <c r="B10" s="8" t="s">
        <v>150</v>
      </c>
      <c r="C10" s="11" t="s">
        <v>151</v>
      </c>
      <c r="D10" s="8" t="s">
        <v>152</v>
      </c>
    </row>
    <row r="11" customFormat="false" ht="15" hidden="false" customHeight="false" outlineLevel="0" collapsed="false">
      <c r="A11" s="8" t="s">
        <v>153</v>
      </c>
      <c r="B11" s="8" t="s">
        <v>154</v>
      </c>
      <c r="C11" s="11" t="s">
        <v>151</v>
      </c>
      <c r="D11" s="8" t="s">
        <v>152</v>
      </c>
    </row>
    <row r="12" customFormat="false" ht="15" hidden="false" customHeight="false" outlineLevel="0" collapsed="false">
      <c r="A12" s="8" t="s">
        <v>155</v>
      </c>
      <c r="B12" s="8" t="s">
        <v>156</v>
      </c>
      <c r="C12" s="11" t="s">
        <v>151</v>
      </c>
      <c r="D12" s="8" t="s">
        <v>157</v>
      </c>
    </row>
    <row r="13" customFormat="false" ht="15" hidden="false" customHeight="false" outlineLevel="0" collapsed="false">
      <c r="A13" s="8" t="s">
        <v>158</v>
      </c>
      <c r="B13" s="8" t="s">
        <v>159</v>
      </c>
      <c r="C13" s="11" t="s">
        <v>151</v>
      </c>
      <c r="D13" s="8" t="s">
        <v>160</v>
      </c>
    </row>
    <row r="14" customFormat="false" ht="15" hidden="false" customHeight="false" outlineLevel="0" collapsed="false">
      <c r="A14" s="8" t="s">
        <v>161</v>
      </c>
      <c r="B14" s="8" t="s">
        <v>162</v>
      </c>
      <c r="C14" s="11" t="s">
        <v>163</v>
      </c>
      <c r="D14" s="8" t="s">
        <v>164</v>
      </c>
    </row>
    <row r="15" customFormat="false" ht="15" hidden="false" customHeight="false" outlineLevel="0" collapsed="false">
      <c r="A15" s="8"/>
      <c r="B15" s="8"/>
      <c r="C15" s="8"/>
      <c r="D15" s="8"/>
    </row>
    <row r="16" customFormat="false" ht="15" hidden="false" customHeight="false" outlineLevel="0" collapsed="false">
      <c r="A16" s="9" t="s">
        <v>165</v>
      </c>
      <c r="B16" s="9"/>
      <c r="C16" s="9"/>
      <c r="D16" s="9"/>
    </row>
    <row r="17" customFormat="false" ht="15" hidden="false" customHeight="false" outlineLevel="0" collapsed="false">
      <c r="A17" s="8" t="s">
        <v>166</v>
      </c>
      <c r="B17" s="8" t="s">
        <v>167</v>
      </c>
      <c r="C17" s="11" t="s">
        <v>168</v>
      </c>
      <c r="D17" s="8" t="s">
        <v>169</v>
      </c>
    </row>
    <row r="18" customFormat="false" ht="15" hidden="false" customHeight="false" outlineLevel="0" collapsed="false">
      <c r="A18" s="8" t="s">
        <v>170</v>
      </c>
      <c r="B18" s="8" t="s">
        <v>171</v>
      </c>
      <c r="C18" s="11" t="s">
        <v>168</v>
      </c>
      <c r="D18" s="8" t="s">
        <v>172</v>
      </c>
    </row>
    <row r="19" customFormat="false" ht="28.35" hidden="false" customHeight="false" outlineLevel="0" collapsed="false">
      <c r="A19" s="8" t="s">
        <v>173</v>
      </c>
      <c r="B19" s="8" t="s">
        <v>174</v>
      </c>
      <c r="C19" s="11" t="s">
        <v>175</v>
      </c>
      <c r="D19" s="8" t="s">
        <v>176</v>
      </c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false" outlineLevel="0" collapsed="false">
      <c r="A21" s="9" t="s">
        <v>177</v>
      </c>
      <c r="B21" s="9"/>
      <c r="C21" s="9"/>
      <c r="D21" s="9"/>
    </row>
    <row r="22" customFormat="false" ht="28.35" hidden="false" customHeight="false" outlineLevel="0" collapsed="false">
      <c r="A22" s="8" t="s">
        <v>178</v>
      </c>
      <c r="B22" s="8" t="s">
        <v>179</v>
      </c>
      <c r="C22" s="10" t="s">
        <v>146</v>
      </c>
      <c r="D22" s="8" t="s">
        <v>180</v>
      </c>
    </row>
    <row r="23" customFormat="false" ht="15" hidden="false" customHeight="false" outlineLevel="0" collapsed="false">
      <c r="A23" s="8" t="s">
        <v>181</v>
      </c>
      <c r="B23" s="8" t="s">
        <v>182</v>
      </c>
      <c r="C23" s="10" t="s">
        <v>183</v>
      </c>
      <c r="D23" s="8"/>
    </row>
    <row r="24" customFormat="false" ht="15" hidden="false" customHeight="false" outlineLevel="0" collapsed="false">
      <c r="A24" s="8" t="s">
        <v>184</v>
      </c>
      <c r="B24" s="8" t="s">
        <v>185</v>
      </c>
      <c r="C24" s="10" t="s">
        <v>183</v>
      </c>
      <c r="D24" s="8"/>
    </row>
    <row r="25" customFormat="false" ht="15" hidden="false" customHeight="false" outlineLevel="0" collapsed="false">
      <c r="A25" s="8" t="s">
        <v>186</v>
      </c>
      <c r="B25" s="8" t="s">
        <v>187</v>
      </c>
      <c r="C25" s="10" t="s">
        <v>183</v>
      </c>
      <c r="D25" s="8" t="s">
        <v>188</v>
      </c>
    </row>
    <row r="26" customFormat="false" ht="15" hidden="false" customHeight="false" outlineLevel="0" collapsed="false">
      <c r="A26" s="8" t="s">
        <v>189</v>
      </c>
      <c r="B26" s="8" t="s">
        <v>190</v>
      </c>
      <c r="C26" s="10" t="s">
        <v>183</v>
      </c>
      <c r="D26" s="8" t="s">
        <v>191</v>
      </c>
    </row>
    <row r="27" customFormat="false" ht="15" hidden="false" customHeight="false" outlineLevel="0" collapsed="false">
      <c r="A27" s="8" t="s">
        <v>192</v>
      </c>
      <c r="B27" s="8" t="s">
        <v>193</v>
      </c>
      <c r="C27" s="10" t="s">
        <v>183</v>
      </c>
      <c r="D27" s="8" t="s">
        <v>194</v>
      </c>
    </row>
    <row r="28" customFormat="false" ht="15" hidden="false" customHeight="false" outlineLevel="0" collapsed="false">
      <c r="A28" s="8" t="s">
        <v>195</v>
      </c>
      <c r="B28" s="8" t="s">
        <v>182</v>
      </c>
      <c r="C28" s="10" t="s">
        <v>183</v>
      </c>
      <c r="D28" s="8" t="s">
        <v>196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5" t="s">
        <v>197</v>
      </c>
      <c r="B1" s="5"/>
      <c r="C1" s="5"/>
    </row>
    <row r="3" customFormat="false" ht="15" hidden="false" customHeight="false" outlineLevel="0" collapsed="false">
      <c r="A3" s="6" t="s">
        <v>198</v>
      </c>
      <c r="B3" s="6" t="s">
        <v>54</v>
      </c>
      <c r="C3" s="6" t="s">
        <v>199</v>
      </c>
    </row>
    <row r="4" customFormat="false" ht="15" hidden="false" customHeight="false" outlineLevel="0" collapsed="false">
      <c r="A4" s="9" t="s">
        <v>200</v>
      </c>
      <c r="B4" s="9"/>
      <c r="C4" s="9"/>
    </row>
    <row r="5" customFormat="false" ht="15" hidden="false" customHeight="false" outlineLevel="0" collapsed="false">
      <c r="A5" s="8" t="s">
        <v>201</v>
      </c>
      <c r="B5" s="8" t="s">
        <v>202</v>
      </c>
      <c r="C5" s="8" t="s">
        <v>183</v>
      </c>
    </row>
    <row r="6" customFormat="false" ht="15" hidden="false" customHeight="false" outlineLevel="0" collapsed="false">
      <c r="A6" s="8" t="s">
        <v>203</v>
      </c>
      <c r="B6" s="8" t="s">
        <v>204</v>
      </c>
      <c r="C6" s="8" t="s">
        <v>183</v>
      </c>
    </row>
    <row r="7" customFormat="false" ht="15" hidden="false" customHeight="false" outlineLevel="0" collapsed="false">
      <c r="A7" s="8" t="s">
        <v>205</v>
      </c>
      <c r="B7" s="8" t="s">
        <v>206</v>
      </c>
      <c r="C7" s="8" t="s">
        <v>183</v>
      </c>
    </row>
    <row r="8" customFormat="false" ht="15" hidden="false" customHeight="false" outlineLevel="0" collapsed="false">
      <c r="A8" s="8" t="s">
        <v>207</v>
      </c>
      <c r="B8" s="8" t="s">
        <v>208</v>
      </c>
      <c r="C8" s="8" t="s">
        <v>183</v>
      </c>
    </row>
    <row r="9" customFormat="false" ht="15" hidden="false" customHeight="false" outlineLevel="0" collapsed="false">
      <c r="A9" s="8" t="s">
        <v>209</v>
      </c>
      <c r="B9" s="8" t="s">
        <v>94</v>
      </c>
      <c r="C9" s="8" t="s">
        <v>183</v>
      </c>
    </row>
    <row r="10" customFormat="false" ht="15" hidden="false" customHeight="false" outlineLevel="0" collapsed="false">
      <c r="A10" s="8" t="s">
        <v>210</v>
      </c>
      <c r="B10" s="8" t="s">
        <v>211</v>
      </c>
      <c r="C10" s="8" t="s">
        <v>183</v>
      </c>
    </row>
    <row r="11" customFormat="false" ht="15" hidden="false" customHeight="false" outlineLevel="0" collapsed="false">
      <c r="A11" s="8" t="s">
        <v>212</v>
      </c>
      <c r="B11" s="8" t="s">
        <v>213</v>
      </c>
      <c r="C11" s="8" t="s">
        <v>214</v>
      </c>
    </row>
    <row r="12" customFormat="false" ht="15" hidden="false" customHeight="false" outlineLevel="0" collapsed="false">
      <c r="A12" s="8" t="s">
        <v>215</v>
      </c>
      <c r="B12" s="8" t="s">
        <v>216</v>
      </c>
      <c r="C12" s="8" t="s">
        <v>214</v>
      </c>
    </row>
    <row r="13" customFormat="false" ht="15" hidden="false" customHeight="false" outlineLevel="0" collapsed="false">
      <c r="A13" s="8" t="s">
        <v>217</v>
      </c>
      <c r="B13" s="8" t="s">
        <v>218</v>
      </c>
      <c r="C13" s="8" t="s">
        <v>219</v>
      </c>
    </row>
    <row r="14" customFormat="false" ht="15" hidden="false" customHeight="false" outlineLevel="0" collapsed="false">
      <c r="A14" s="8"/>
      <c r="B14" s="8"/>
      <c r="C14" s="8"/>
    </row>
    <row r="15" customFormat="false" ht="15" hidden="false" customHeight="false" outlineLevel="0" collapsed="false">
      <c r="A15" s="9" t="s">
        <v>220</v>
      </c>
      <c r="B15" s="9"/>
      <c r="C15" s="9"/>
    </row>
    <row r="16" customFormat="false" ht="15" hidden="false" customHeight="false" outlineLevel="0" collapsed="false">
      <c r="A16" s="8" t="s">
        <v>221</v>
      </c>
      <c r="B16" s="8" t="s">
        <v>222</v>
      </c>
      <c r="C16" s="8" t="s">
        <v>183</v>
      </c>
    </row>
    <row r="17" customFormat="false" ht="15" hidden="false" customHeight="false" outlineLevel="0" collapsed="false">
      <c r="A17" s="8" t="s">
        <v>223</v>
      </c>
      <c r="B17" s="8" t="s">
        <v>224</v>
      </c>
      <c r="C17" s="8" t="s">
        <v>225</v>
      </c>
    </row>
    <row r="18" customFormat="false" ht="15" hidden="false" customHeight="false" outlineLevel="0" collapsed="false">
      <c r="A18" s="8" t="s">
        <v>226</v>
      </c>
      <c r="B18" s="8" t="s">
        <v>227</v>
      </c>
      <c r="C18" s="8" t="s">
        <v>228</v>
      </c>
    </row>
    <row r="19" customFormat="false" ht="15" hidden="false" customHeight="false" outlineLevel="0" collapsed="false">
      <c r="A19" s="8" t="s">
        <v>229</v>
      </c>
      <c r="B19" s="8" t="s">
        <v>230</v>
      </c>
      <c r="C19" s="8" t="s">
        <v>231</v>
      </c>
    </row>
    <row r="20" customFormat="false" ht="15" hidden="false" customHeight="false" outlineLevel="0" collapsed="false">
      <c r="A20" s="8"/>
      <c r="B20" s="8"/>
      <c r="C20" s="8"/>
    </row>
    <row r="21" customFormat="false" ht="15" hidden="false" customHeight="false" outlineLevel="0" collapsed="false">
      <c r="A21" s="9" t="s">
        <v>232</v>
      </c>
      <c r="B21" s="9"/>
      <c r="C21" s="9"/>
    </row>
    <row r="22" customFormat="false" ht="15" hidden="false" customHeight="false" outlineLevel="0" collapsed="false">
      <c r="A22" s="8" t="s">
        <v>233</v>
      </c>
      <c r="B22" s="8" t="s">
        <v>234</v>
      </c>
      <c r="C22" s="8" t="s">
        <v>235</v>
      </c>
    </row>
    <row r="23" customFormat="false" ht="28.35" hidden="false" customHeight="false" outlineLevel="0" collapsed="false">
      <c r="A23" s="8" t="s">
        <v>236</v>
      </c>
      <c r="B23" s="8" t="s">
        <v>179</v>
      </c>
      <c r="C23" s="8" t="s">
        <v>183</v>
      </c>
    </row>
    <row r="24" customFormat="false" ht="15" hidden="false" customHeight="false" outlineLevel="0" collapsed="false">
      <c r="A24" s="8"/>
      <c r="B24" s="8"/>
      <c r="C24" s="8"/>
    </row>
    <row r="25" customFormat="false" ht="15" hidden="false" customHeight="false" outlineLevel="0" collapsed="false">
      <c r="A25" s="9" t="s">
        <v>237</v>
      </c>
      <c r="B25" s="9"/>
      <c r="C25" s="9"/>
    </row>
    <row r="26" customFormat="false" ht="15" hidden="false" customHeight="false" outlineLevel="0" collapsed="false">
      <c r="A26" s="8" t="s">
        <v>238</v>
      </c>
      <c r="B26" s="12"/>
      <c r="C26" s="8" t="s">
        <v>239</v>
      </c>
    </row>
    <row r="27" customFormat="false" ht="15" hidden="false" customHeight="false" outlineLevel="0" collapsed="false">
      <c r="A27" s="8" t="s">
        <v>240</v>
      </c>
      <c r="B27" s="12"/>
      <c r="C27" s="8" t="s">
        <v>241</v>
      </c>
    </row>
    <row r="28" customFormat="false" ht="15" hidden="false" customHeight="false" outlineLevel="0" collapsed="false">
      <c r="A28" s="8" t="s">
        <v>242</v>
      </c>
      <c r="B28" s="8" t="s">
        <v>243</v>
      </c>
      <c r="C28" s="8" t="s">
        <v>244</v>
      </c>
    </row>
    <row r="31" customFormat="false" ht="15" hidden="false" customHeight="false" outlineLevel="0" collapsed="false">
      <c r="A31" s="13" t="s">
        <v>245</v>
      </c>
      <c r="B31" s="13"/>
      <c r="C31" s="13"/>
    </row>
    <row r="32" customFormat="false" ht="15" hidden="false" customHeight="false" outlineLevel="0" collapsed="false">
      <c r="A32" s="14" t="s">
        <v>246</v>
      </c>
      <c r="B32" s="15" t="s">
        <v>247</v>
      </c>
      <c r="C32" s="16" t="s">
        <v>175</v>
      </c>
    </row>
    <row r="33" customFormat="false" ht="15" hidden="false" customHeight="false" outlineLevel="0" collapsed="false">
      <c r="A33" s="14" t="s">
        <v>246</v>
      </c>
      <c r="B33" s="15" t="s">
        <v>248</v>
      </c>
      <c r="C33" s="16" t="s">
        <v>175</v>
      </c>
    </row>
    <row r="34" customFormat="false" ht="15" hidden="false" customHeight="false" outlineLevel="0" collapsed="false">
      <c r="A34" s="14" t="s">
        <v>246</v>
      </c>
      <c r="B34" s="15" t="s">
        <v>249</v>
      </c>
      <c r="C34" s="16" t="s">
        <v>175</v>
      </c>
    </row>
    <row r="35" customFormat="false" ht="15" hidden="false" customHeight="false" outlineLevel="0" collapsed="false">
      <c r="A35" s="14" t="s">
        <v>246</v>
      </c>
      <c r="B35" s="15" t="s">
        <v>250</v>
      </c>
      <c r="C35" s="16" t="s">
        <v>175</v>
      </c>
    </row>
    <row r="36" customFormat="false" ht="15" hidden="false" customHeight="false" outlineLevel="0" collapsed="false">
      <c r="A36" s="14" t="s">
        <v>246</v>
      </c>
      <c r="B36" s="15" t="s">
        <v>251</v>
      </c>
      <c r="C36" s="16" t="s">
        <v>175</v>
      </c>
    </row>
    <row r="37" customFormat="false" ht="15" hidden="false" customHeight="false" outlineLevel="0" collapsed="false">
      <c r="A37" s="14" t="s">
        <v>246</v>
      </c>
      <c r="B37" s="15" t="s">
        <v>252</v>
      </c>
      <c r="C37" s="16" t="s">
        <v>175</v>
      </c>
    </row>
  </sheetData>
  <mergeCells count="2">
    <mergeCell ref="A1:C1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5" t="s">
        <v>253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13" t="s">
        <v>254</v>
      </c>
      <c r="B3" s="13"/>
      <c r="C3" s="13"/>
      <c r="D3" s="13"/>
      <c r="E3" s="13"/>
      <c r="F3" s="13"/>
    </row>
    <row r="4" customFormat="false" ht="15" hidden="false" customHeight="false" outlineLevel="0" collapsed="false">
      <c r="A4" s="6" t="s">
        <v>255</v>
      </c>
      <c r="B4" s="6" t="s">
        <v>256</v>
      </c>
      <c r="C4" s="6" t="s">
        <v>257</v>
      </c>
      <c r="D4" s="6" t="s">
        <v>258</v>
      </c>
      <c r="E4" s="6" t="s">
        <v>130</v>
      </c>
      <c r="F4" s="6" t="s">
        <v>55</v>
      </c>
    </row>
    <row r="5" customFormat="false" ht="15" hidden="false" customHeight="false" outlineLevel="0" collapsed="false">
      <c r="A5" s="7" t="s">
        <v>259</v>
      </c>
      <c r="B5" s="7" t="s">
        <v>260</v>
      </c>
      <c r="C5" s="7" t="s">
        <v>261</v>
      </c>
      <c r="D5" s="7" t="s">
        <v>262</v>
      </c>
      <c r="E5" s="7" t="s">
        <v>263</v>
      </c>
      <c r="F5" s="7"/>
    </row>
    <row r="6" customFormat="false" ht="15" hidden="false" customHeight="false" outlineLevel="0" collapsed="false">
      <c r="A6" s="7" t="s">
        <v>264</v>
      </c>
      <c r="B6" s="7" t="s">
        <v>260</v>
      </c>
      <c r="C6" s="7" t="s">
        <v>265</v>
      </c>
      <c r="D6" s="7" t="s">
        <v>266</v>
      </c>
      <c r="E6" s="7" t="s">
        <v>263</v>
      </c>
      <c r="F6" s="7"/>
    </row>
    <row r="7" customFormat="false" ht="15" hidden="false" customHeight="false" outlineLevel="0" collapsed="false">
      <c r="A7" s="7" t="s">
        <v>267</v>
      </c>
      <c r="B7" s="7" t="s">
        <v>260</v>
      </c>
      <c r="C7" s="7" t="s">
        <v>261</v>
      </c>
      <c r="D7" s="7" t="s">
        <v>268</v>
      </c>
      <c r="E7" s="7" t="s">
        <v>263</v>
      </c>
      <c r="F7" s="7"/>
    </row>
    <row r="8" customFormat="false" ht="15" hidden="false" customHeight="false" outlineLevel="0" collapsed="false">
      <c r="A8" s="7" t="s">
        <v>269</v>
      </c>
      <c r="B8" s="7" t="s">
        <v>260</v>
      </c>
      <c r="C8" s="7" t="s">
        <v>270</v>
      </c>
      <c r="D8" s="7" t="s">
        <v>271</v>
      </c>
      <c r="E8" s="7" t="s">
        <v>263</v>
      </c>
      <c r="F8" s="7"/>
    </row>
    <row r="9" customFormat="false" ht="15" hidden="false" customHeight="false" outlineLevel="0" collapsed="false">
      <c r="A9" s="7" t="s">
        <v>272</v>
      </c>
      <c r="B9" s="7" t="s">
        <v>260</v>
      </c>
      <c r="C9" s="7" t="s">
        <v>270</v>
      </c>
      <c r="D9" s="7" t="s">
        <v>230</v>
      </c>
      <c r="E9" s="7" t="s">
        <v>263</v>
      </c>
      <c r="F9" s="7"/>
    </row>
    <row r="11" customFormat="false" ht="15" hidden="false" customHeight="false" outlineLevel="0" collapsed="false">
      <c r="A11" s="13" t="s">
        <v>273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6" t="s">
        <v>255</v>
      </c>
      <c r="B12" s="6" t="s">
        <v>256</v>
      </c>
      <c r="C12" s="6" t="s">
        <v>257</v>
      </c>
      <c r="D12" s="6" t="s">
        <v>258</v>
      </c>
      <c r="E12" s="6" t="s">
        <v>130</v>
      </c>
      <c r="F12" s="6" t="s">
        <v>55</v>
      </c>
    </row>
    <row r="13" customFormat="false" ht="15" hidden="false" customHeight="false" outlineLevel="0" collapsed="false">
      <c r="A13" s="7" t="s">
        <v>274</v>
      </c>
      <c r="B13" s="7" t="s">
        <v>260</v>
      </c>
      <c r="C13" s="7" t="s">
        <v>275</v>
      </c>
      <c r="D13" s="7" t="s">
        <v>276</v>
      </c>
      <c r="E13" s="7" t="s">
        <v>263</v>
      </c>
      <c r="F13" s="7"/>
    </row>
    <row r="14" customFormat="false" ht="15" hidden="false" customHeight="false" outlineLevel="0" collapsed="false">
      <c r="A14" s="7" t="s">
        <v>277</v>
      </c>
      <c r="B14" s="7" t="s">
        <v>260</v>
      </c>
      <c r="C14" s="7" t="s">
        <v>278</v>
      </c>
      <c r="D14" s="7" t="s">
        <v>266</v>
      </c>
      <c r="E14" s="7" t="s">
        <v>263</v>
      </c>
      <c r="F14" s="7"/>
    </row>
    <row r="15" customFormat="false" ht="15" hidden="false" customHeight="false" outlineLevel="0" collapsed="false">
      <c r="A15" s="7" t="s">
        <v>279</v>
      </c>
      <c r="B15" s="7" t="s">
        <v>260</v>
      </c>
      <c r="C15" s="7" t="s">
        <v>280</v>
      </c>
      <c r="D15" s="7" t="s">
        <v>268</v>
      </c>
      <c r="E15" s="7" t="s">
        <v>263</v>
      </c>
      <c r="F15" s="7"/>
    </row>
    <row r="16" customFormat="false" ht="15" hidden="false" customHeight="false" outlineLevel="0" collapsed="false">
      <c r="A16" s="7" t="s">
        <v>281</v>
      </c>
      <c r="B16" s="7" t="s">
        <v>260</v>
      </c>
      <c r="C16" s="7" t="s">
        <v>282</v>
      </c>
      <c r="D16" s="7" t="s">
        <v>283</v>
      </c>
      <c r="E16" s="7" t="s">
        <v>263</v>
      </c>
      <c r="F16" s="7"/>
    </row>
    <row r="17" customFormat="false" ht="15" hidden="false" customHeight="false" outlineLevel="0" collapsed="false">
      <c r="A17" s="7" t="s">
        <v>284</v>
      </c>
      <c r="B17" s="7" t="s">
        <v>260</v>
      </c>
      <c r="C17" s="7" t="s">
        <v>275</v>
      </c>
      <c r="D17" s="7" t="s">
        <v>262</v>
      </c>
      <c r="E17" s="7" t="s">
        <v>263</v>
      </c>
      <c r="F17" s="7"/>
    </row>
    <row r="19" customFormat="false" ht="15" hidden="false" customHeight="false" outlineLevel="0" collapsed="false">
      <c r="A19" s="17" t="s">
        <v>285</v>
      </c>
    </row>
    <row r="20" customFormat="false" ht="15" hidden="false" customHeight="false" outlineLevel="0" collapsed="false">
      <c r="A20" s="0" t="s">
        <v>286</v>
      </c>
      <c r="B20" s="18" t="n">
        <f aca="false">COUNTIF(E5:E9,"Ativa")</f>
        <v>5</v>
      </c>
    </row>
    <row r="21" customFormat="false" ht="15" hidden="false" customHeight="false" outlineLevel="0" collapsed="false">
      <c r="A21" s="0" t="s">
        <v>287</v>
      </c>
      <c r="B21" s="18" t="n">
        <f aca="false">COUNTIF(E13:E17,"Ativa")</f>
        <v>5</v>
      </c>
    </row>
    <row r="22" customFormat="false" ht="15" hidden="false" customHeight="false" outlineLevel="0" collapsed="false">
      <c r="A22" s="19" t="s">
        <v>288</v>
      </c>
      <c r="B22" s="20" t="n">
        <f aca="false">B20+B21</f>
        <v>10</v>
      </c>
    </row>
    <row r="24" customFormat="false" ht="15" hidden="false" customHeight="false" outlineLevel="0" collapsed="false">
      <c r="A24" s="13" t="s">
        <v>289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21" t="s">
        <v>290</v>
      </c>
    </row>
  </sheetData>
  <autoFilter ref="A4:F9"/>
  <mergeCells count="4">
    <mergeCell ref="A1:F1"/>
    <mergeCell ref="A3:F3"/>
    <mergeCell ref="A11:F11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5" t="s">
        <v>291</v>
      </c>
      <c r="B1" s="5"/>
      <c r="C1" s="5"/>
      <c r="D1" s="5"/>
      <c r="E1" s="5"/>
    </row>
    <row r="3" customFormat="false" ht="15" hidden="false" customHeight="false" outlineLevel="0" collapsed="false">
      <c r="A3" s="6" t="s">
        <v>292</v>
      </c>
      <c r="B3" s="6" t="s">
        <v>293</v>
      </c>
      <c r="C3" s="6" t="s">
        <v>294</v>
      </c>
      <c r="D3" s="6" t="s">
        <v>295</v>
      </c>
      <c r="E3" s="6" t="s">
        <v>296</v>
      </c>
    </row>
    <row r="4" customFormat="false" ht="15" hidden="false" customHeight="false" outlineLevel="0" collapsed="false">
      <c r="A4" s="22" t="s">
        <v>297</v>
      </c>
      <c r="B4" s="22" t="s">
        <v>260</v>
      </c>
      <c r="C4" s="22" t="s">
        <v>298</v>
      </c>
      <c r="D4" s="22" t="s">
        <v>299</v>
      </c>
      <c r="E4" s="22" t="s">
        <v>300</v>
      </c>
    </row>
    <row r="5" customFormat="false" ht="15" hidden="false" customHeight="false" outlineLevel="0" collapsed="false">
      <c r="A5" s="22" t="s">
        <v>301</v>
      </c>
      <c r="B5" s="22" t="s">
        <v>260</v>
      </c>
      <c r="C5" s="22" t="s">
        <v>298</v>
      </c>
      <c r="D5" s="22" t="s">
        <v>299</v>
      </c>
      <c r="E5" s="22" t="s">
        <v>302</v>
      </c>
    </row>
    <row r="6" customFormat="false" ht="15" hidden="false" customHeight="false" outlineLevel="0" collapsed="false">
      <c r="A6" s="22" t="s">
        <v>303</v>
      </c>
      <c r="B6" s="22" t="s">
        <v>260</v>
      </c>
      <c r="C6" s="22" t="s">
        <v>298</v>
      </c>
      <c r="D6" s="22" t="s">
        <v>299</v>
      </c>
      <c r="E6" s="22" t="s">
        <v>304</v>
      </c>
    </row>
    <row r="7" customFormat="false" ht="15" hidden="false" customHeight="false" outlineLevel="0" collapsed="false">
      <c r="A7" s="22" t="s">
        <v>305</v>
      </c>
      <c r="B7" s="22" t="s">
        <v>260</v>
      </c>
      <c r="C7" s="22" t="s">
        <v>298</v>
      </c>
      <c r="D7" s="22" t="s">
        <v>299</v>
      </c>
      <c r="E7" s="22" t="s">
        <v>306</v>
      </c>
    </row>
    <row r="8" customFormat="false" ht="15" hidden="false" customHeight="false" outlineLevel="0" collapsed="false">
      <c r="A8" s="22" t="s">
        <v>307</v>
      </c>
      <c r="B8" s="22" t="s">
        <v>260</v>
      </c>
      <c r="C8" s="22" t="s">
        <v>298</v>
      </c>
      <c r="D8" s="22" t="s">
        <v>299</v>
      </c>
      <c r="E8" s="22" t="s">
        <v>306</v>
      </c>
    </row>
    <row r="9" customFormat="false" ht="15" hidden="false" customHeight="false" outlineLevel="0" collapsed="false">
      <c r="A9" s="22" t="s">
        <v>308</v>
      </c>
      <c r="B9" s="22" t="s">
        <v>260</v>
      </c>
      <c r="C9" s="22" t="s">
        <v>298</v>
      </c>
      <c r="D9" s="22" t="s">
        <v>299</v>
      </c>
      <c r="E9" s="22" t="s">
        <v>309</v>
      </c>
    </row>
    <row r="10" customFormat="false" ht="15" hidden="false" customHeight="false" outlineLevel="0" collapsed="false">
      <c r="A10" s="22" t="s">
        <v>310</v>
      </c>
      <c r="B10" s="22" t="s">
        <v>311</v>
      </c>
      <c r="C10" s="22" t="s">
        <v>298</v>
      </c>
      <c r="D10" s="22" t="s">
        <v>299</v>
      </c>
      <c r="E10" s="22" t="s">
        <v>312</v>
      </c>
    </row>
    <row r="11" customFormat="false" ht="15" hidden="false" customHeight="false" outlineLevel="0" collapsed="false">
      <c r="A11" s="22" t="s">
        <v>313</v>
      </c>
      <c r="B11" s="22" t="s">
        <v>260</v>
      </c>
      <c r="C11" s="22" t="s">
        <v>298</v>
      </c>
      <c r="D11" s="22" t="s">
        <v>299</v>
      </c>
      <c r="E11" s="22" t="s">
        <v>314</v>
      </c>
    </row>
    <row r="12" customFormat="false" ht="15" hidden="false" customHeight="false" outlineLevel="0" collapsed="false">
      <c r="A12" s="22" t="s">
        <v>315</v>
      </c>
      <c r="B12" s="22" t="s">
        <v>260</v>
      </c>
      <c r="C12" s="22" t="s">
        <v>298</v>
      </c>
      <c r="D12" s="22" t="s">
        <v>299</v>
      </c>
      <c r="E12" s="22" t="s">
        <v>316</v>
      </c>
    </row>
    <row r="13" customFormat="false" ht="15" hidden="false" customHeight="false" outlineLevel="0" collapsed="false">
      <c r="A13" s="22" t="s">
        <v>317</v>
      </c>
      <c r="B13" s="22" t="s">
        <v>311</v>
      </c>
      <c r="C13" s="22" t="s">
        <v>298</v>
      </c>
      <c r="D13" s="22" t="s">
        <v>299</v>
      </c>
      <c r="E13" s="22" t="s">
        <v>318</v>
      </c>
    </row>
    <row r="14" customFormat="false" ht="15" hidden="false" customHeight="false" outlineLevel="0" collapsed="false">
      <c r="A14" s="23"/>
      <c r="B14" s="23"/>
      <c r="C14" s="23"/>
      <c r="D14" s="23"/>
      <c r="E14" s="23"/>
    </row>
    <row r="15" customFormat="false" ht="15" hidden="false" customHeight="false" outlineLevel="0" collapsed="false">
      <c r="A15" s="23"/>
      <c r="B15" s="23"/>
      <c r="C15" s="23"/>
      <c r="D15" s="23"/>
      <c r="E15" s="23"/>
    </row>
    <row r="16" customFormat="false" ht="15" hidden="false" customHeight="false" outlineLevel="0" collapsed="false">
      <c r="A16" s="23"/>
      <c r="B16" s="23"/>
      <c r="C16" s="23"/>
      <c r="D16" s="23"/>
      <c r="E16" s="23"/>
    </row>
    <row r="17" customFormat="false" ht="15" hidden="false" customHeight="false" outlineLevel="0" collapsed="false">
      <c r="A17" s="23"/>
      <c r="B17" s="23"/>
      <c r="C17" s="23"/>
      <c r="D17" s="23"/>
      <c r="E17" s="23"/>
    </row>
    <row r="18" customFormat="false" ht="15" hidden="false" customHeight="false" outlineLevel="0" collapsed="false">
      <c r="A18" s="23"/>
      <c r="B18" s="23"/>
      <c r="C18" s="23"/>
      <c r="D18" s="23"/>
      <c r="E18" s="23"/>
    </row>
    <row r="19" customFormat="false" ht="15" hidden="false" customHeight="false" outlineLevel="0" collapsed="false">
      <c r="A19" s="23"/>
      <c r="B19" s="23"/>
      <c r="C19" s="23"/>
      <c r="D19" s="23"/>
      <c r="E19" s="23"/>
    </row>
    <row r="20" customFormat="false" ht="15" hidden="false" customHeight="false" outlineLevel="0" collapsed="false">
      <c r="A20" s="23"/>
      <c r="B20" s="23"/>
      <c r="C20" s="23"/>
      <c r="D20" s="23"/>
      <c r="E20" s="23"/>
    </row>
    <row r="21" customFormat="false" ht="15" hidden="false" customHeight="false" outlineLevel="0" collapsed="false">
      <c r="A21" s="23"/>
      <c r="B21" s="23"/>
      <c r="C21" s="23"/>
      <c r="D21" s="23"/>
      <c r="E21" s="23"/>
    </row>
    <row r="22" customFormat="false" ht="15" hidden="false" customHeight="false" outlineLevel="0" collapsed="false">
      <c r="A22" s="23"/>
      <c r="B22" s="23"/>
      <c r="C22" s="23"/>
      <c r="D22" s="23"/>
      <c r="E22" s="23"/>
    </row>
    <row r="23" customFormat="false" ht="15" hidden="false" customHeight="false" outlineLevel="0" collapsed="false">
      <c r="A23" s="23"/>
      <c r="B23" s="23"/>
      <c r="C23" s="23"/>
      <c r="D23" s="23"/>
      <c r="E23" s="23"/>
    </row>
    <row r="24" customFormat="false" ht="15" hidden="false" customHeight="false" outlineLevel="0" collapsed="false">
      <c r="A24" s="23"/>
      <c r="B24" s="23"/>
      <c r="C24" s="23"/>
      <c r="D24" s="23"/>
      <c r="E24" s="23"/>
    </row>
    <row r="25" customFormat="false" ht="15" hidden="false" customHeight="false" outlineLevel="0" collapsed="false">
      <c r="A25" s="23"/>
      <c r="B25" s="23"/>
      <c r="C25" s="23"/>
      <c r="D25" s="23"/>
      <c r="E25" s="23"/>
    </row>
    <row r="26" customFormat="false" ht="15" hidden="false" customHeight="false" outlineLevel="0" collapsed="false">
      <c r="A26" s="23"/>
      <c r="B26" s="23"/>
      <c r="C26" s="23"/>
      <c r="D26" s="23"/>
      <c r="E26" s="23"/>
    </row>
    <row r="27" customFormat="false" ht="15" hidden="false" customHeight="false" outlineLevel="0" collapsed="false">
      <c r="A27" s="23"/>
      <c r="B27" s="23"/>
      <c r="C27" s="23"/>
      <c r="D27" s="23"/>
      <c r="E27" s="23"/>
    </row>
    <row r="28" customFormat="false" ht="15" hidden="false" customHeight="false" outlineLevel="0" collapsed="false">
      <c r="A28" s="23"/>
      <c r="B28" s="23"/>
      <c r="C28" s="23"/>
      <c r="D28" s="23"/>
      <c r="E28" s="23"/>
    </row>
    <row r="29" customFormat="false" ht="15" hidden="false" customHeight="false" outlineLevel="0" collapsed="false">
      <c r="A29" s="23"/>
      <c r="B29" s="23"/>
      <c r="C29" s="23"/>
      <c r="D29" s="23"/>
      <c r="E29" s="23"/>
    </row>
    <row r="30" customFormat="false" ht="15" hidden="false" customHeight="false" outlineLevel="0" collapsed="false">
      <c r="A30" s="23"/>
      <c r="B30" s="23"/>
      <c r="C30" s="23"/>
      <c r="D30" s="23"/>
      <c r="E30" s="23"/>
    </row>
    <row r="31" customFormat="false" ht="15" hidden="false" customHeight="false" outlineLevel="0" collapsed="false">
      <c r="A31" s="23"/>
      <c r="B31" s="23"/>
      <c r="C31" s="23"/>
      <c r="D31" s="23"/>
      <c r="E31" s="23"/>
    </row>
    <row r="32" customFormat="false" ht="15" hidden="false" customHeight="false" outlineLevel="0" collapsed="false">
      <c r="A32" s="23"/>
      <c r="B32" s="23"/>
      <c r="C32" s="23"/>
      <c r="D32" s="23"/>
      <c r="E32" s="23"/>
    </row>
    <row r="33" customFormat="false" ht="15" hidden="false" customHeight="false" outlineLevel="0" collapsed="false">
      <c r="A33" s="23"/>
      <c r="B33" s="23"/>
      <c r="C33" s="23"/>
      <c r="D33" s="23"/>
      <c r="E33" s="23"/>
    </row>
    <row r="35" customFormat="false" ht="15" hidden="false" customHeight="false" outlineLevel="0" collapsed="false">
      <c r="A35" s="17" t="s">
        <v>319</v>
      </c>
    </row>
    <row r="36" customFormat="false" ht="15" hidden="false" customHeight="false" outlineLevel="0" collapsed="false">
      <c r="A36" s="0" t="s">
        <v>320</v>
      </c>
    </row>
    <row r="37" customFormat="false" ht="15" hidden="false" customHeight="false" outlineLevel="0" collapsed="false">
      <c r="A37" s="0" t="s">
        <v>321</v>
      </c>
    </row>
    <row r="38" customFormat="false" ht="15" hidden="false" customHeight="false" outlineLevel="0" collapsed="false">
      <c r="A38" s="0" t="s">
        <v>322</v>
      </c>
    </row>
  </sheetData>
  <autoFilter ref="A3:E13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5" t="s">
        <v>323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13" t="s">
        <v>324</v>
      </c>
      <c r="B3" s="13"/>
      <c r="C3" s="13"/>
      <c r="D3" s="13"/>
      <c r="E3" s="13"/>
      <c r="F3" s="13"/>
      <c r="G3" s="13"/>
    </row>
    <row r="4" customFormat="false" ht="15" hidden="false" customHeight="false" outlineLevel="0" collapsed="false">
      <c r="A4" s="6" t="s">
        <v>325</v>
      </c>
      <c r="B4" s="6" t="s">
        <v>326</v>
      </c>
      <c r="C4" s="6" t="s">
        <v>327</v>
      </c>
      <c r="D4" s="6" t="s">
        <v>328</v>
      </c>
      <c r="E4" s="6" t="s">
        <v>130</v>
      </c>
      <c r="F4" s="6" t="s">
        <v>329</v>
      </c>
      <c r="G4" s="6" t="s">
        <v>330</v>
      </c>
    </row>
    <row r="5" customFormat="false" ht="15" hidden="false" customHeight="false" outlineLevel="0" collapsed="false">
      <c r="A5" s="24" t="n">
        <v>1</v>
      </c>
      <c r="B5" s="24" t="s">
        <v>331</v>
      </c>
      <c r="C5" s="25" t="n">
        <f aca="false">LEN(B5)</f>
        <v>35</v>
      </c>
      <c r="D5" s="24" t="n">
        <v>30</v>
      </c>
      <c r="E5" s="25" t="str">
        <f aca="false">IF(C5&lt;=30,"✅ OK","❌ ESTOURO")</f>
        <v>❌ ESTOURO</v>
      </c>
      <c r="F5" s="24" t="s">
        <v>332</v>
      </c>
      <c r="G5" s="26" t="s">
        <v>174</v>
      </c>
    </row>
    <row r="6" customFormat="false" ht="15" hidden="false" customHeight="false" outlineLevel="0" collapsed="false">
      <c r="A6" s="24" t="n">
        <v>2</v>
      </c>
      <c r="B6" s="24" t="s">
        <v>333</v>
      </c>
      <c r="C6" s="25" t="n">
        <f aca="false">LEN(B6)</f>
        <v>39</v>
      </c>
      <c r="D6" s="24" t="n">
        <v>30</v>
      </c>
      <c r="E6" s="25" t="str">
        <f aca="false">IF(C6&lt;=30,"✅ OK","❌ ESTOURO")</f>
        <v>❌ ESTOURO</v>
      </c>
      <c r="F6" s="24" t="s">
        <v>261</v>
      </c>
      <c r="G6" s="26" t="s">
        <v>174</v>
      </c>
    </row>
    <row r="7" customFormat="false" ht="15" hidden="false" customHeight="false" outlineLevel="0" collapsed="false">
      <c r="A7" s="24" t="n">
        <v>3</v>
      </c>
      <c r="B7" s="24" t="s">
        <v>334</v>
      </c>
      <c r="C7" s="25" t="n">
        <f aca="false">LEN(B7)</f>
        <v>38</v>
      </c>
      <c r="D7" s="24" t="n">
        <v>30</v>
      </c>
      <c r="E7" s="25" t="str">
        <f aca="false">IF(C7&lt;=30,"✅ OK","❌ ESTOURO")</f>
        <v>❌ ESTOURO</v>
      </c>
      <c r="F7" s="24" t="s">
        <v>335</v>
      </c>
      <c r="G7" s="26" t="s">
        <v>174</v>
      </c>
    </row>
    <row r="8" customFormat="false" ht="15" hidden="false" customHeight="false" outlineLevel="0" collapsed="false">
      <c r="A8" s="24" t="n">
        <v>4</v>
      </c>
      <c r="B8" s="24" t="s">
        <v>336</v>
      </c>
      <c r="C8" s="25" t="n">
        <f aca="false">LEN(B8)</f>
        <v>36</v>
      </c>
      <c r="D8" s="24" t="n">
        <v>30</v>
      </c>
      <c r="E8" s="25" t="str">
        <f aca="false">IF(C8&lt;=30,"✅ OK","❌ ESTOURO")</f>
        <v>❌ ESTOURO</v>
      </c>
      <c r="F8" s="24" t="s">
        <v>337</v>
      </c>
      <c r="G8" s="26" t="s">
        <v>174</v>
      </c>
    </row>
    <row r="9" customFormat="false" ht="15" hidden="false" customHeight="false" outlineLevel="0" collapsed="false">
      <c r="A9" s="24" t="n">
        <v>5</v>
      </c>
      <c r="B9" s="24" t="s">
        <v>338</v>
      </c>
      <c r="C9" s="25" t="n">
        <f aca="false">LEN(B9)</f>
        <v>40</v>
      </c>
      <c r="D9" s="24" t="n">
        <v>30</v>
      </c>
      <c r="E9" s="25" t="str">
        <f aca="false">IF(C9&lt;=30,"✅ OK","❌ ESTOURO")</f>
        <v>❌ ESTOURO</v>
      </c>
      <c r="F9" s="24" t="s">
        <v>339</v>
      </c>
      <c r="G9" s="26" t="s">
        <v>174</v>
      </c>
    </row>
    <row r="10" customFormat="false" ht="15" hidden="false" customHeight="false" outlineLevel="0" collapsed="false">
      <c r="A10" s="24" t="n">
        <v>6</v>
      </c>
      <c r="B10" s="24" t="s">
        <v>340</v>
      </c>
      <c r="C10" s="25" t="n">
        <f aca="false">LEN(B10)</f>
        <v>38</v>
      </c>
      <c r="D10" s="24" t="n">
        <v>30</v>
      </c>
      <c r="E10" s="25" t="str">
        <f aca="false">IF(C10&lt;=30,"✅ OK","❌ ESTOURO")</f>
        <v>❌ ESTOURO</v>
      </c>
      <c r="F10" s="24" t="s">
        <v>341</v>
      </c>
      <c r="G10" s="26" t="s">
        <v>174</v>
      </c>
    </row>
    <row r="11" customFormat="false" ht="15" hidden="false" customHeight="false" outlineLevel="0" collapsed="false">
      <c r="A11" s="24" t="n">
        <v>7</v>
      </c>
      <c r="B11" s="24" t="s">
        <v>342</v>
      </c>
      <c r="C11" s="25" t="n">
        <f aca="false">LEN(B11)</f>
        <v>35</v>
      </c>
      <c r="D11" s="24" t="n">
        <v>30</v>
      </c>
      <c r="E11" s="25" t="str">
        <f aca="false">IF(C11&lt;=30,"✅ OK","❌ ESTOURO")</f>
        <v>❌ ESTOURO</v>
      </c>
      <c r="F11" s="24" t="s">
        <v>343</v>
      </c>
      <c r="G11" s="26" t="s">
        <v>174</v>
      </c>
    </row>
    <row r="12" customFormat="false" ht="15" hidden="false" customHeight="false" outlineLevel="0" collapsed="false">
      <c r="A12" s="24" t="n">
        <v>8</v>
      </c>
      <c r="B12" s="24" t="s">
        <v>344</v>
      </c>
      <c r="C12" s="25" t="n">
        <f aca="false">LEN(B12)</f>
        <v>32</v>
      </c>
      <c r="D12" s="24" t="n">
        <v>30</v>
      </c>
      <c r="E12" s="25" t="str">
        <f aca="false">IF(C12&lt;=30,"✅ OK","❌ ESTOURO")</f>
        <v>❌ ESTOURO</v>
      </c>
      <c r="F12" s="24" t="s">
        <v>345</v>
      </c>
      <c r="G12" s="26" t="s">
        <v>174</v>
      </c>
    </row>
    <row r="13" customFormat="false" ht="15" hidden="false" customHeight="false" outlineLevel="0" collapsed="false">
      <c r="A13" s="24" t="n">
        <v>9</v>
      </c>
      <c r="B13" s="24" t="s">
        <v>346</v>
      </c>
      <c r="C13" s="25" t="n">
        <f aca="false">LEN(B13)</f>
        <v>39</v>
      </c>
      <c r="D13" s="24" t="n">
        <v>30</v>
      </c>
      <c r="E13" s="25" t="str">
        <f aca="false">IF(C13&lt;=30,"✅ OK","❌ ESTOURO")</f>
        <v>❌ ESTOURO</v>
      </c>
      <c r="F13" s="24" t="s">
        <v>347</v>
      </c>
      <c r="G13" s="26" t="s">
        <v>174</v>
      </c>
    </row>
    <row r="14" customFormat="false" ht="15" hidden="false" customHeight="false" outlineLevel="0" collapsed="false">
      <c r="A14" s="24" t="n">
        <v>10</v>
      </c>
      <c r="B14" s="24" t="s">
        <v>348</v>
      </c>
      <c r="C14" s="25" t="n">
        <f aca="false">LEN(B14)</f>
        <v>29</v>
      </c>
      <c r="D14" s="24" t="n">
        <v>30</v>
      </c>
      <c r="E14" s="25" t="str">
        <f aca="false">IF(C14&lt;=30,"✅ OK","❌ ESTOURO")</f>
        <v>✅ OK</v>
      </c>
      <c r="F14" s="24" t="s">
        <v>349</v>
      </c>
      <c r="G14" s="26" t="s">
        <v>174</v>
      </c>
    </row>
    <row r="15" customFormat="false" ht="15" hidden="false" customHeight="false" outlineLevel="0" collapsed="false">
      <c r="A15" s="24" t="n">
        <v>11</v>
      </c>
      <c r="B15" s="24" t="s">
        <v>350</v>
      </c>
      <c r="C15" s="25" t="n">
        <f aca="false">LEN(B15)</f>
        <v>35</v>
      </c>
      <c r="D15" s="24" t="n">
        <v>30</v>
      </c>
      <c r="E15" s="25" t="str">
        <f aca="false">IF(C15&lt;=30,"✅ OK","❌ ESTOURO")</f>
        <v>❌ ESTOURO</v>
      </c>
      <c r="F15" s="24" t="s">
        <v>351</v>
      </c>
      <c r="G15" s="26" t="s">
        <v>174</v>
      </c>
    </row>
    <row r="16" customFormat="false" ht="15" hidden="false" customHeight="false" outlineLevel="0" collapsed="false">
      <c r="A16" s="24" t="n">
        <v>12</v>
      </c>
      <c r="B16" s="24" t="s">
        <v>352</v>
      </c>
      <c r="C16" s="25" t="n">
        <f aca="false">LEN(B16)</f>
        <v>40</v>
      </c>
      <c r="D16" s="24" t="n">
        <v>30</v>
      </c>
      <c r="E16" s="25" t="str">
        <f aca="false">IF(C16&lt;=30,"✅ OK","❌ ESTOURO")</f>
        <v>❌ ESTOURO</v>
      </c>
      <c r="F16" s="24" t="s">
        <v>353</v>
      </c>
      <c r="G16" s="26" t="s">
        <v>174</v>
      </c>
    </row>
    <row r="17" customFormat="false" ht="15" hidden="false" customHeight="false" outlineLevel="0" collapsed="false">
      <c r="A17" s="24" t="n">
        <v>13</v>
      </c>
      <c r="B17" s="24" t="s">
        <v>354</v>
      </c>
      <c r="C17" s="25" t="n">
        <f aca="false">LEN(B17)</f>
        <v>40</v>
      </c>
      <c r="D17" s="24" t="n">
        <v>30</v>
      </c>
      <c r="E17" s="25" t="str">
        <f aca="false">IF(C17&lt;=30,"✅ OK","❌ ESTOURO")</f>
        <v>❌ ESTOURO</v>
      </c>
      <c r="F17" s="24" t="s">
        <v>355</v>
      </c>
      <c r="G17" s="26" t="s">
        <v>174</v>
      </c>
    </row>
    <row r="18" customFormat="false" ht="15" hidden="false" customHeight="false" outlineLevel="0" collapsed="false">
      <c r="A18" s="24" t="n">
        <v>14</v>
      </c>
      <c r="B18" s="24" t="s">
        <v>356</v>
      </c>
      <c r="C18" s="25" t="n">
        <f aca="false">LEN(B18)</f>
        <v>30</v>
      </c>
      <c r="D18" s="24" t="n">
        <v>30</v>
      </c>
      <c r="E18" s="25" t="str">
        <f aca="false">IF(C18&lt;=30,"✅ OK","❌ ESTOURO")</f>
        <v>✅ OK</v>
      </c>
      <c r="F18" s="24" t="s">
        <v>357</v>
      </c>
      <c r="G18" s="26" t="s">
        <v>174</v>
      </c>
    </row>
    <row r="19" customFormat="false" ht="15" hidden="false" customHeight="false" outlineLevel="0" collapsed="false">
      <c r="A19" s="24" t="n">
        <v>15</v>
      </c>
      <c r="B19" s="24" t="s">
        <v>358</v>
      </c>
      <c r="C19" s="25" t="n">
        <f aca="false">LEN(B19)</f>
        <v>26</v>
      </c>
      <c r="D19" s="24" t="n">
        <v>30</v>
      </c>
      <c r="E19" s="25" t="str">
        <f aca="false">IF(C19&lt;=30,"✅ OK","❌ ESTOURO")</f>
        <v>✅ OK</v>
      </c>
      <c r="F19" s="24" t="s">
        <v>359</v>
      </c>
      <c r="G19" s="26" t="s">
        <v>174</v>
      </c>
    </row>
    <row r="22" customFormat="false" ht="15" hidden="false" customHeight="false" outlineLevel="0" collapsed="false">
      <c r="A22" s="13" t="s">
        <v>360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6" t="s">
        <v>325</v>
      </c>
      <c r="B23" s="6" t="s">
        <v>361</v>
      </c>
      <c r="C23" s="6" t="s">
        <v>327</v>
      </c>
      <c r="D23" s="6" t="s">
        <v>328</v>
      </c>
      <c r="E23" s="6" t="s">
        <v>130</v>
      </c>
    </row>
    <row r="24" customFormat="false" ht="41.75" hidden="false" customHeight="false" outlineLevel="0" collapsed="false">
      <c r="A24" s="8" t="n">
        <v>1</v>
      </c>
      <c r="B24" s="8" t="s">
        <v>362</v>
      </c>
      <c r="C24" s="27" t="n">
        <f aca="false">LEN(B24)</f>
        <v>149</v>
      </c>
      <c r="D24" s="8" t="n">
        <v>90</v>
      </c>
      <c r="E24" s="27" t="str">
        <f aca="false">IF(C24&lt;=90,"✅ OK","❌ ESTOURO")</f>
        <v>❌ ESTOURO</v>
      </c>
    </row>
    <row r="25" customFormat="false" ht="41.75" hidden="false" customHeight="false" outlineLevel="0" collapsed="false">
      <c r="A25" s="8" t="n">
        <v>2</v>
      </c>
      <c r="B25" s="8" t="s">
        <v>363</v>
      </c>
      <c r="C25" s="27" t="n">
        <f aca="false">LEN(B25)</f>
        <v>154</v>
      </c>
      <c r="D25" s="8" t="n">
        <v>90</v>
      </c>
      <c r="E25" s="27" t="str">
        <f aca="false">IF(C25&lt;=90,"✅ OK","❌ ESTOURO")</f>
        <v>❌ ESTOURO</v>
      </c>
    </row>
    <row r="26" customFormat="false" ht="41.75" hidden="false" customHeight="false" outlineLevel="0" collapsed="false">
      <c r="A26" s="8" t="n">
        <v>3</v>
      </c>
      <c r="B26" s="8" t="s">
        <v>364</v>
      </c>
      <c r="C26" s="27" t="n">
        <f aca="false">LEN(B26)</f>
        <v>153</v>
      </c>
      <c r="D26" s="8" t="n">
        <v>90</v>
      </c>
      <c r="E26" s="27" t="str">
        <f aca="false">IF(C26&lt;=90,"✅ OK","❌ ESTOURO")</f>
        <v>❌ ESTOURO</v>
      </c>
    </row>
    <row r="29" customFormat="false" ht="15" hidden="false" customHeight="false" outlineLevel="0" collapsed="false">
      <c r="A29" s="17" t="s">
        <v>365</v>
      </c>
    </row>
    <row r="30" customFormat="false" ht="15" hidden="false" customHeight="false" outlineLevel="0" collapsed="false">
      <c r="A30" s="15" t="s">
        <v>366</v>
      </c>
      <c r="B30" s="15" t="s">
        <v>367</v>
      </c>
      <c r="C30" s="0" t="s">
        <v>368</v>
      </c>
    </row>
    <row r="31" customFormat="false" ht="15" hidden="false" customHeight="false" outlineLevel="0" collapsed="false">
      <c r="A31" s="15" t="s">
        <v>369</v>
      </c>
      <c r="B31" s="15" t="s">
        <v>370</v>
      </c>
    </row>
    <row r="34" customFormat="false" ht="15" hidden="false" customHeight="false" outlineLevel="0" collapsed="false">
      <c r="A34" s="13" t="s">
        <v>371</v>
      </c>
      <c r="B34" s="13"/>
      <c r="C34" s="13"/>
      <c r="D34" s="13"/>
      <c r="E34" s="13"/>
    </row>
    <row r="35" customFormat="false" ht="15" hidden="false" customHeight="false" outlineLevel="0" collapsed="false">
      <c r="A35" s="28" t="s">
        <v>372</v>
      </c>
    </row>
    <row r="36" customFormat="false" ht="15" hidden="false" customHeight="false" outlineLevel="0" collapsed="false">
      <c r="A36" s="28" t="s">
        <v>373</v>
      </c>
    </row>
    <row r="37" customFormat="false" ht="15" hidden="false" customHeight="false" outlineLevel="0" collapsed="false">
      <c r="A37" s="28" t="s">
        <v>374</v>
      </c>
    </row>
    <row r="38" customFormat="false" ht="15" hidden="false" customHeight="false" outlineLevel="0" collapsed="false">
      <c r="A38" s="28" t="s">
        <v>375</v>
      </c>
    </row>
    <row r="39" customFormat="false" ht="15" hidden="false" customHeight="false" outlineLevel="0" collapsed="false">
      <c r="A39" s="28" t="s">
        <v>376</v>
      </c>
    </row>
    <row r="40" customFormat="false" ht="15" hidden="false" customHeight="false" outlineLevel="0" collapsed="false">
      <c r="A40" s="28" t="s">
        <v>377</v>
      </c>
    </row>
  </sheetData>
  <autoFilter ref="A4:G19"/>
  <mergeCells count="4">
    <mergeCell ref="A1:G1"/>
    <mergeCell ref="A3:G3"/>
    <mergeCell ref="A22:G2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11" min="9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5" t="s">
        <v>378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5" hidden="false" customHeight="false" outlineLevel="0" collapsed="false">
      <c r="A2" s="29" t="s">
        <v>379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customFormat="false" ht="15" hidden="false" customHeight="false" outlineLevel="0" collapsed="false">
      <c r="A3" s="30" t="s">
        <v>380</v>
      </c>
      <c r="B3" s="30" t="s">
        <v>381</v>
      </c>
      <c r="C3" s="30" t="s">
        <v>380</v>
      </c>
      <c r="D3" s="30" t="s">
        <v>380</v>
      </c>
      <c r="E3" s="30" t="s">
        <v>380</v>
      </c>
      <c r="F3" s="30" t="s">
        <v>380</v>
      </c>
      <c r="G3" s="30" t="s">
        <v>380</v>
      </c>
      <c r="H3" s="30" t="s">
        <v>381</v>
      </c>
      <c r="I3" s="30" t="s">
        <v>381</v>
      </c>
      <c r="J3" s="30" t="s">
        <v>381</v>
      </c>
      <c r="K3" s="30" t="s">
        <v>381</v>
      </c>
      <c r="L3" s="30" t="s">
        <v>381</v>
      </c>
      <c r="M3" s="30" t="s">
        <v>381</v>
      </c>
      <c r="N3" s="30" t="s">
        <v>381</v>
      </c>
      <c r="O3" s="30" t="s">
        <v>380</v>
      </c>
    </row>
    <row r="4" customFormat="false" ht="28.35" hidden="false" customHeight="false" outlineLevel="0" collapsed="false">
      <c r="A4" s="6" t="s">
        <v>382</v>
      </c>
      <c r="B4" s="6" t="s">
        <v>383</v>
      </c>
      <c r="C4" s="6" t="s">
        <v>384</v>
      </c>
      <c r="D4" s="6" t="s">
        <v>385</v>
      </c>
      <c r="E4" s="6" t="s">
        <v>386</v>
      </c>
      <c r="F4" s="6" t="s">
        <v>387</v>
      </c>
      <c r="G4" s="6" t="s">
        <v>388</v>
      </c>
      <c r="H4" s="6" t="s">
        <v>389</v>
      </c>
      <c r="I4" s="6" t="s">
        <v>390</v>
      </c>
      <c r="J4" s="6" t="s">
        <v>391</v>
      </c>
      <c r="K4" s="6" t="s">
        <v>392</v>
      </c>
      <c r="L4" s="6" t="s">
        <v>393</v>
      </c>
      <c r="M4" s="6" t="s">
        <v>394</v>
      </c>
      <c r="N4" s="6" t="s">
        <v>395</v>
      </c>
      <c r="O4" s="6" t="s">
        <v>396</v>
      </c>
    </row>
    <row r="5" customFormat="false" ht="15" hidden="false" customHeight="false" outlineLevel="0" collapsed="false">
      <c r="A5" s="31"/>
      <c r="B5" s="32" t="str">
        <f aca="false">IF(A5="","",TEXT(A5,"dddd"))</f>
        <v/>
      </c>
      <c r="C5" s="33"/>
      <c r="D5" s="33"/>
      <c r="E5" s="33"/>
      <c r="F5" s="34"/>
      <c r="G5" s="33"/>
      <c r="H5" s="35" t="n">
        <f aca="false">IF(D5=0,0,E5/D5)</f>
        <v>0</v>
      </c>
      <c r="I5" s="36" t="n">
        <f aca="false">IF(E5=0,0,F5/E5)</f>
        <v>0</v>
      </c>
      <c r="J5" s="36" t="str">
        <f aca="false">IF(G5=0,"—",F5/G5)</f>
        <v>—</v>
      </c>
      <c r="K5" s="36" t="n">
        <f aca="false">G5*134</f>
        <v>0</v>
      </c>
      <c r="L5" s="37" t="str">
        <f aca="false">IF(F5=0,"—",K5/F5)</f>
        <v>—</v>
      </c>
      <c r="M5" s="36" t="n">
        <f aca="false">K5-F5</f>
        <v>0</v>
      </c>
      <c r="N5" s="32" t="str">
        <f aca="false">IF(A5="","",IF(G5&gt;0,IF(F5/IF(G5=0,1,G5)&gt;134,"⚠️ Verificar","✅ Converteu!"),"📊 Coletando dados"))</f>
        <v/>
      </c>
      <c r="O5" s="33" t="s">
        <v>397</v>
      </c>
    </row>
    <row r="6" customFormat="false" ht="15" hidden="false" customHeight="false" outlineLevel="0" collapsed="false">
      <c r="A6" s="31"/>
      <c r="B6" s="32" t="str">
        <f aca="false">IF(A6="","",TEXT(A6,"dddd"))</f>
        <v/>
      </c>
      <c r="C6" s="33"/>
      <c r="D6" s="33"/>
      <c r="E6" s="33"/>
      <c r="F6" s="34"/>
      <c r="G6" s="33"/>
      <c r="H6" s="35" t="n">
        <f aca="false">IF(D6=0,0,E6/D6)</f>
        <v>0</v>
      </c>
      <c r="I6" s="36" t="n">
        <f aca="false">IF(E6=0,0,F6/E6)</f>
        <v>0</v>
      </c>
      <c r="J6" s="36" t="str">
        <f aca="false">IF(G6=0,"—",F6/G6)</f>
        <v>—</v>
      </c>
      <c r="K6" s="36" t="n">
        <f aca="false">G6*134</f>
        <v>0</v>
      </c>
      <c r="L6" s="37" t="str">
        <f aca="false">IF(F6=0,"—",K6/F6)</f>
        <v>—</v>
      </c>
      <c r="M6" s="36" t="n">
        <f aca="false">K6-F6</f>
        <v>0</v>
      </c>
      <c r="N6" s="32" t="str">
        <f aca="false">IF(A6="","",IF(G6&gt;0,IF(F6/IF(G6=0,1,G6)&gt;134,"⚠️ Verificar","✅ Converteu!"),"📊 Coletando dados"))</f>
        <v/>
      </c>
      <c r="O6" s="33"/>
    </row>
    <row r="7" customFormat="false" ht="15" hidden="false" customHeight="false" outlineLevel="0" collapsed="false">
      <c r="A7" s="31"/>
      <c r="B7" s="32" t="str">
        <f aca="false">IF(A7="","",TEXT(A7,"dddd"))</f>
        <v/>
      </c>
      <c r="C7" s="33"/>
      <c r="D7" s="33"/>
      <c r="E7" s="33"/>
      <c r="F7" s="34"/>
      <c r="G7" s="33"/>
      <c r="H7" s="35" t="n">
        <f aca="false">IF(D7=0,0,E7/D7)</f>
        <v>0</v>
      </c>
      <c r="I7" s="36" t="n">
        <f aca="false">IF(E7=0,0,F7/E7)</f>
        <v>0</v>
      </c>
      <c r="J7" s="36" t="str">
        <f aca="false">IF(G7=0,"—",F7/G7)</f>
        <v>—</v>
      </c>
      <c r="K7" s="36" t="n">
        <f aca="false">G7*134</f>
        <v>0</v>
      </c>
      <c r="L7" s="37" t="str">
        <f aca="false">IF(F7=0,"—",K7/F7)</f>
        <v>—</v>
      </c>
      <c r="M7" s="36" t="n">
        <f aca="false">K7-F7</f>
        <v>0</v>
      </c>
      <c r="N7" s="32" t="str">
        <f aca="false">IF(A7="","",IF(G7&gt;0,IF(F7/IF(G7=0,1,G7)&gt;134,"⚠️ Verificar","✅ Converteu!"),"📊 Coletando dados"))</f>
        <v/>
      </c>
      <c r="O7" s="33"/>
    </row>
    <row r="8" customFormat="false" ht="15" hidden="false" customHeight="false" outlineLevel="0" collapsed="false">
      <c r="A8" s="31"/>
      <c r="B8" s="32" t="str">
        <f aca="false">IF(A8="","",TEXT(A8,"dddd"))</f>
        <v/>
      </c>
      <c r="C8" s="33"/>
      <c r="D8" s="33"/>
      <c r="E8" s="33"/>
      <c r="F8" s="34"/>
      <c r="G8" s="33"/>
      <c r="H8" s="35" t="n">
        <f aca="false">IF(D8=0,0,E8/D8)</f>
        <v>0</v>
      </c>
      <c r="I8" s="36" t="n">
        <f aca="false">IF(E8=0,0,F8/E8)</f>
        <v>0</v>
      </c>
      <c r="J8" s="36" t="str">
        <f aca="false">IF(G8=0,"—",F8/G8)</f>
        <v>—</v>
      </c>
      <c r="K8" s="36" t="n">
        <f aca="false">G8*134</f>
        <v>0</v>
      </c>
      <c r="L8" s="37" t="str">
        <f aca="false">IF(F8=0,"—",K8/F8)</f>
        <v>—</v>
      </c>
      <c r="M8" s="36" t="n">
        <f aca="false">K8-F8</f>
        <v>0</v>
      </c>
      <c r="N8" s="32" t="str">
        <f aca="false">IF(A8="","",IF(G8&gt;0,IF(F8/IF(G8=0,1,G8)&gt;134,"⚠️ Verificar","✅ Converteu!"),"📊 Coletando dados"))</f>
        <v/>
      </c>
      <c r="O8" s="33"/>
    </row>
    <row r="9" customFormat="false" ht="15" hidden="false" customHeight="false" outlineLevel="0" collapsed="false">
      <c r="A9" s="31"/>
      <c r="B9" s="32" t="str">
        <f aca="false">IF(A9="","",TEXT(A9,"dddd"))</f>
        <v/>
      </c>
      <c r="C9" s="33"/>
      <c r="D9" s="33"/>
      <c r="E9" s="33"/>
      <c r="F9" s="34"/>
      <c r="G9" s="33"/>
      <c r="H9" s="35" t="n">
        <f aca="false">IF(D9=0,0,E9/D9)</f>
        <v>0</v>
      </c>
      <c r="I9" s="36" t="n">
        <f aca="false">IF(E9=0,0,F9/E9)</f>
        <v>0</v>
      </c>
      <c r="J9" s="36" t="str">
        <f aca="false">IF(G9=0,"—",F9/G9)</f>
        <v>—</v>
      </c>
      <c r="K9" s="36" t="n">
        <f aca="false">G9*134</f>
        <v>0</v>
      </c>
      <c r="L9" s="37" t="str">
        <f aca="false">IF(F9=0,"—",K9/F9)</f>
        <v>—</v>
      </c>
      <c r="M9" s="36" t="n">
        <f aca="false">K9-F9</f>
        <v>0</v>
      </c>
      <c r="N9" s="32" t="str">
        <f aca="false">IF(A9="","",IF(G9&gt;0,IF(F9/IF(G9=0,1,G9)&gt;134,"⚠️ Verificar","✅ Converteu!"),"📊 Coletando dados"))</f>
        <v/>
      </c>
      <c r="O9" s="33"/>
    </row>
    <row r="10" customFormat="false" ht="15" hidden="false" customHeight="false" outlineLevel="0" collapsed="false">
      <c r="A10" s="31"/>
      <c r="B10" s="32" t="str">
        <f aca="false">IF(A10="","",TEXT(A10,"dddd"))</f>
        <v/>
      </c>
      <c r="C10" s="33"/>
      <c r="D10" s="33"/>
      <c r="E10" s="33"/>
      <c r="F10" s="34"/>
      <c r="G10" s="33"/>
      <c r="H10" s="35" t="n">
        <f aca="false">IF(D10=0,0,E10/D10)</f>
        <v>0</v>
      </c>
      <c r="I10" s="36" t="n">
        <f aca="false">IF(E10=0,0,F10/E10)</f>
        <v>0</v>
      </c>
      <c r="J10" s="36" t="str">
        <f aca="false">IF(G10=0,"—",F10/G10)</f>
        <v>—</v>
      </c>
      <c r="K10" s="36" t="n">
        <f aca="false">G10*134</f>
        <v>0</v>
      </c>
      <c r="L10" s="37" t="str">
        <f aca="false">IF(F10=0,"—",K10/F10)</f>
        <v>—</v>
      </c>
      <c r="M10" s="36" t="n">
        <f aca="false">K10-F10</f>
        <v>0</v>
      </c>
      <c r="N10" s="32" t="str">
        <f aca="false">IF(A10="","",IF(G10&gt;0,IF(F10/IF(G10=0,1,G10)&gt;134,"⚠️ Verificar","✅ Converteu!"),"📊 Coletando dados"))</f>
        <v/>
      </c>
      <c r="O10" s="33"/>
    </row>
    <row r="11" customFormat="false" ht="15" hidden="false" customHeight="false" outlineLevel="0" collapsed="false">
      <c r="A11" s="31"/>
      <c r="B11" s="32" t="str">
        <f aca="false">IF(A11="","",TEXT(A11,"dddd"))</f>
        <v/>
      </c>
      <c r="C11" s="33"/>
      <c r="D11" s="33"/>
      <c r="E11" s="33"/>
      <c r="F11" s="34"/>
      <c r="G11" s="33"/>
      <c r="H11" s="35" t="n">
        <f aca="false">IF(D11=0,0,E11/D11)</f>
        <v>0</v>
      </c>
      <c r="I11" s="36" t="n">
        <f aca="false">IF(E11=0,0,F11/E11)</f>
        <v>0</v>
      </c>
      <c r="J11" s="36" t="str">
        <f aca="false">IF(G11=0,"—",F11/G11)</f>
        <v>—</v>
      </c>
      <c r="K11" s="36" t="n">
        <f aca="false">G11*134</f>
        <v>0</v>
      </c>
      <c r="L11" s="37" t="str">
        <f aca="false">IF(F11=0,"—",K11/F11)</f>
        <v>—</v>
      </c>
      <c r="M11" s="36" t="n">
        <f aca="false">K11-F11</f>
        <v>0</v>
      </c>
      <c r="N11" s="32" t="str">
        <f aca="false">IF(A11="","",IF(G11&gt;0,IF(F11/IF(G11=0,1,G11)&gt;134,"⚠️ Verificar","✅ Converteu!"),"📊 Coletando dados"))</f>
        <v/>
      </c>
      <c r="O11" s="33"/>
    </row>
    <row r="12" customFormat="false" ht="15" hidden="false" customHeight="false" outlineLevel="0" collapsed="false">
      <c r="A12" s="31"/>
      <c r="B12" s="32" t="str">
        <f aca="false">IF(A12="","",TEXT(A12,"dddd"))</f>
        <v/>
      </c>
      <c r="C12" s="33"/>
      <c r="D12" s="33"/>
      <c r="E12" s="33"/>
      <c r="F12" s="34"/>
      <c r="G12" s="33"/>
      <c r="H12" s="35" t="n">
        <f aca="false">IF(D12=0,0,E12/D12)</f>
        <v>0</v>
      </c>
      <c r="I12" s="36" t="n">
        <f aca="false">IF(E12=0,0,F12/E12)</f>
        <v>0</v>
      </c>
      <c r="J12" s="36" t="str">
        <f aca="false">IF(G12=0,"—",F12/G12)</f>
        <v>—</v>
      </c>
      <c r="K12" s="36" t="n">
        <f aca="false">G12*134</f>
        <v>0</v>
      </c>
      <c r="L12" s="37" t="str">
        <f aca="false">IF(F12=0,"—",K12/F12)</f>
        <v>—</v>
      </c>
      <c r="M12" s="36" t="n">
        <f aca="false">K12-F12</f>
        <v>0</v>
      </c>
      <c r="N12" s="32" t="str">
        <f aca="false">IF(A12="","",IF(G12&gt;0,IF(F12/IF(G12=0,1,G12)&gt;134,"⚠️ Verificar","✅ Converteu!"),"📊 Coletando dados"))</f>
        <v/>
      </c>
      <c r="O12" s="33"/>
    </row>
    <row r="13" customFormat="false" ht="15" hidden="false" customHeight="false" outlineLevel="0" collapsed="false">
      <c r="A13" s="31"/>
      <c r="B13" s="32" t="str">
        <f aca="false">IF(A13="","",TEXT(A13,"dddd"))</f>
        <v/>
      </c>
      <c r="C13" s="33"/>
      <c r="D13" s="33"/>
      <c r="E13" s="33"/>
      <c r="F13" s="34"/>
      <c r="G13" s="33"/>
      <c r="H13" s="35" t="n">
        <f aca="false">IF(D13=0,0,E13/D13)</f>
        <v>0</v>
      </c>
      <c r="I13" s="36" t="n">
        <f aca="false">IF(E13=0,0,F13/E13)</f>
        <v>0</v>
      </c>
      <c r="J13" s="36" t="str">
        <f aca="false">IF(G13=0,"—",F13/G13)</f>
        <v>—</v>
      </c>
      <c r="K13" s="36" t="n">
        <f aca="false">G13*134</f>
        <v>0</v>
      </c>
      <c r="L13" s="37" t="str">
        <f aca="false">IF(F13=0,"—",K13/F13)</f>
        <v>—</v>
      </c>
      <c r="M13" s="36" t="n">
        <f aca="false">K13-F13</f>
        <v>0</v>
      </c>
      <c r="N13" s="32" t="str">
        <f aca="false">IF(A13="","",IF(G13&gt;0,IF(F13/IF(G13=0,1,G13)&gt;134,"⚠️ Verificar","✅ Converteu!"),"📊 Coletando dados"))</f>
        <v/>
      </c>
      <c r="O13" s="33"/>
    </row>
    <row r="14" customFormat="false" ht="15" hidden="false" customHeight="false" outlineLevel="0" collapsed="false">
      <c r="A14" s="31"/>
      <c r="B14" s="32" t="str">
        <f aca="false">IF(A14="","",TEXT(A14,"dddd"))</f>
        <v/>
      </c>
      <c r="C14" s="33"/>
      <c r="D14" s="33"/>
      <c r="E14" s="33"/>
      <c r="F14" s="34"/>
      <c r="G14" s="33"/>
      <c r="H14" s="35" t="n">
        <f aca="false">IF(D14=0,0,E14/D14)</f>
        <v>0</v>
      </c>
      <c r="I14" s="36" t="n">
        <f aca="false">IF(E14=0,0,F14/E14)</f>
        <v>0</v>
      </c>
      <c r="J14" s="36" t="str">
        <f aca="false">IF(G14=0,"—",F14/G14)</f>
        <v>—</v>
      </c>
      <c r="K14" s="36" t="n">
        <f aca="false">G14*134</f>
        <v>0</v>
      </c>
      <c r="L14" s="37" t="str">
        <f aca="false">IF(F14=0,"—",K14/F14)</f>
        <v>—</v>
      </c>
      <c r="M14" s="36" t="n">
        <f aca="false">K14-F14</f>
        <v>0</v>
      </c>
      <c r="N14" s="32" t="str">
        <f aca="false">IF(A14="","",IF(G14&gt;0,IF(F14/IF(G14=0,1,G14)&gt;134,"⚠️ Verificar","✅ Converteu!"),"📊 Coletando dados"))</f>
        <v/>
      </c>
      <c r="O14" s="33"/>
    </row>
    <row r="15" customFormat="false" ht="15" hidden="false" customHeight="false" outlineLevel="0" collapsed="false">
      <c r="A15" s="31"/>
      <c r="B15" s="32" t="str">
        <f aca="false">IF(A15="","",TEXT(A15,"dddd"))</f>
        <v/>
      </c>
      <c r="C15" s="33"/>
      <c r="D15" s="33"/>
      <c r="E15" s="33"/>
      <c r="F15" s="34"/>
      <c r="G15" s="33"/>
      <c r="H15" s="35" t="n">
        <f aca="false">IF(D15=0,0,E15/D15)</f>
        <v>0</v>
      </c>
      <c r="I15" s="36" t="n">
        <f aca="false">IF(E15=0,0,F15/E15)</f>
        <v>0</v>
      </c>
      <c r="J15" s="36" t="str">
        <f aca="false">IF(G15=0,"—",F15/G15)</f>
        <v>—</v>
      </c>
      <c r="K15" s="36" t="n">
        <f aca="false">G15*134</f>
        <v>0</v>
      </c>
      <c r="L15" s="37" t="str">
        <f aca="false">IF(F15=0,"—",K15/F15)</f>
        <v>—</v>
      </c>
      <c r="M15" s="36" t="n">
        <f aca="false">K15-F15</f>
        <v>0</v>
      </c>
      <c r="N15" s="32" t="str">
        <f aca="false">IF(A15="","",IF(G15&gt;0,IF(F15/IF(G15=0,1,G15)&gt;134,"⚠️ Verificar","✅ Converteu!"),"📊 Coletando dados"))</f>
        <v/>
      </c>
      <c r="O15" s="33"/>
    </row>
    <row r="16" customFormat="false" ht="15" hidden="false" customHeight="false" outlineLevel="0" collapsed="false">
      <c r="A16" s="31"/>
      <c r="B16" s="32" t="str">
        <f aca="false">IF(A16="","",TEXT(A16,"dddd"))</f>
        <v/>
      </c>
      <c r="C16" s="33"/>
      <c r="D16" s="33"/>
      <c r="E16" s="33"/>
      <c r="F16" s="34"/>
      <c r="G16" s="33"/>
      <c r="H16" s="35" t="n">
        <f aca="false">IF(D16=0,0,E16/D16)</f>
        <v>0</v>
      </c>
      <c r="I16" s="36" t="n">
        <f aca="false">IF(E16=0,0,F16/E16)</f>
        <v>0</v>
      </c>
      <c r="J16" s="36" t="str">
        <f aca="false">IF(G16=0,"—",F16/G16)</f>
        <v>—</v>
      </c>
      <c r="K16" s="36" t="n">
        <f aca="false">G16*134</f>
        <v>0</v>
      </c>
      <c r="L16" s="37" t="str">
        <f aca="false">IF(F16=0,"—",K16/F16)</f>
        <v>—</v>
      </c>
      <c r="M16" s="36" t="n">
        <f aca="false">K16-F16</f>
        <v>0</v>
      </c>
      <c r="N16" s="32" t="str">
        <f aca="false">IF(A16="","",IF(G16&gt;0,IF(F16/IF(G16=0,1,G16)&gt;134,"⚠️ Verificar","✅ Converteu!"),"📊 Coletando dados"))</f>
        <v/>
      </c>
      <c r="O16" s="33"/>
    </row>
    <row r="17" customFormat="false" ht="15" hidden="false" customHeight="false" outlineLevel="0" collapsed="false">
      <c r="A17" s="31"/>
      <c r="B17" s="32" t="str">
        <f aca="false">IF(A17="","",TEXT(A17,"dddd"))</f>
        <v/>
      </c>
      <c r="C17" s="33"/>
      <c r="D17" s="33"/>
      <c r="E17" s="33"/>
      <c r="F17" s="34"/>
      <c r="G17" s="33"/>
      <c r="H17" s="35" t="n">
        <f aca="false">IF(D17=0,0,E17/D17)</f>
        <v>0</v>
      </c>
      <c r="I17" s="36" t="n">
        <f aca="false">IF(E17=0,0,F17/E17)</f>
        <v>0</v>
      </c>
      <c r="J17" s="36" t="str">
        <f aca="false">IF(G17=0,"—",F17/G17)</f>
        <v>—</v>
      </c>
      <c r="K17" s="36" t="n">
        <f aca="false">G17*134</f>
        <v>0</v>
      </c>
      <c r="L17" s="37" t="str">
        <f aca="false">IF(F17=0,"—",K17/F17)</f>
        <v>—</v>
      </c>
      <c r="M17" s="36" t="n">
        <f aca="false">K17-F17</f>
        <v>0</v>
      </c>
      <c r="N17" s="32" t="str">
        <f aca="false">IF(A17="","",IF(G17&gt;0,IF(F17/IF(G17=0,1,G17)&gt;134,"⚠️ Verificar","✅ Converteu!"),"📊 Coletando dados"))</f>
        <v/>
      </c>
      <c r="O17" s="33"/>
    </row>
    <row r="18" customFormat="false" ht="15" hidden="false" customHeight="false" outlineLevel="0" collapsed="false">
      <c r="A18" s="31"/>
      <c r="B18" s="32" t="str">
        <f aca="false">IF(A18="","",TEXT(A18,"dddd"))</f>
        <v/>
      </c>
      <c r="C18" s="33"/>
      <c r="D18" s="33"/>
      <c r="E18" s="33"/>
      <c r="F18" s="34"/>
      <c r="G18" s="33"/>
      <c r="H18" s="35" t="n">
        <f aca="false">IF(D18=0,0,E18/D18)</f>
        <v>0</v>
      </c>
      <c r="I18" s="36" t="n">
        <f aca="false">IF(E18=0,0,F18/E18)</f>
        <v>0</v>
      </c>
      <c r="J18" s="36" t="str">
        <f aca="false">IF(G18=0,"—",F18/G18)</f>
        <v>—</v>
      </c>
      <c r="K18" s="36" t="n">
        <f aca="false">G18*134</f>
        <v>0</v>
      </c>
      <c r="L18" s="37" t="str">
        <f aca="false">IF(F18=0,"—",K18/F18)</f>
        <v>—</v>
      </c>
      <c r="M18" s="36" t="n">
        <f aca="false">K18-F18</f>
        <v>0</v>
      </c>
      <c r="N18" s="32" t="str">
        <f aca="false">IF(A18="","",IF(G18&gt;0,IF(F18/IF(G18=0,1,G18)&gt;134,"⚠️ Verificar","✅ Converteu!"),"📊 Coletando dados"))</f>
        <v/>
      </c>
      <c r="O18" s="33"/>
    </row>
    <row r="19" customFormat="false" ht="15" hidden="false" customHeight="false" outlineLevel="0" collapsed="false">
      <c r="A19" s="31"/>
      <c r="B19" s="32" t="str">
        <f aca="false">IF(A19="","",TEXT(A19,"dddd"))</f>
        <v/>
      </c>
      <c r="C19" s="33"/>
      <c r="D19" s="33"/>
      <c r="E19" s="33"/>
      <c r="F19" s="34"/>
      <c r="G19" s="33"/>
      <c r="H19" s="35" t="n">
        <f aca="false">IF(D19=0,0,E19/D19)</f>
        <v>0</v>
      </c>
      <c r="I19" s="36" t="n">
        <f aca="false">IF(E19=0,0,F19/E19)</f>
        <v>0</v>
      </c>
      <c r="J19" s="36" t="str">
        <f aca="false">IF(G19=0,"—",F19/G19)</f>
        <v>—</v>
      </c>
      <c r="K19" s="36" t="n">
        <f aca="false">G19*134</f>
        <v>0</v>
      </c>
      <c r="L19" s="37" t="str">
        <f aca="false">IF(F19=0,"—",K19/F19)</f>
        <v>—</v>
      </c>
      <c r="M19" s="36" t="n">
        <f aca="false">K19-F19</f>
        <v>0</v>
      </c>
      <c r="N19" s="32" t="str">
        <f aca="false">IF(A19="","",IF(G19&gt;0,IF(F19/IF(G19=0,1,G19)&gt;134,"⚠️ Verificar","✅ Converteu!"),"📊 Coletando dados"))</f>
        <v/>
      </c>
      <c r="O19" s="33"/>
    </row>
    <row r="20" customFormat="false" ht="15" hidden="false" customHeight="false" outlineLevel="0" collapsed="false">
      <c r="A20" s="31"/>
      <c r="B20" s="32" t="str">
        <f aca="false">IF(A20="","",TEXT(A20,"dddd"))</f>
        <v/>
      </c>
      <c r="C20" s="33"/>
      <c r="D20" s="33"/>
      <c r="E20" s="33"/>
      <c r="F20" s="34"/>
      <c r="G20" s="33"/>
      <c r="H20" s="35" t="n">
        <f aca="false">IF(D20=0,0,E20/D20)</f>
        <v>0</v>
      </c>
      <c r="I20" s="36" t="n">
        <f aca="false">IF(E20=0,0,F20/E20)</f>
        <v>0</v>
      </c>
      <c r="J20" s="36" t="str">
        <f aca="false">IF(G20=0,"—",F20/G20)</f>
        <v>—</v>
      </c>
      <c r="K20" s="36" t="n">
        <f aca="false">G20*134</f>
        <v>0</v>
      </c>
      <c r="L20" s="37" t="str">
        <f aca="false">IF(F20=0,"—",K20/F20)</f>
        <v>—</v>
      </c>
      <c r="M20" s="36" t="n">
        <f aca="false">K20-F20</f>
        <v>0</v>
      </c>
      <c r="N20" s="32" t="str">
        <f aca="false">IF(A20="","",IF(G20&gt;0,IF(F20/IF(G20=0,1,G20)&gt;134,"⚠️ Verificar","✅ Converteu!"),"📊 Coletando dados"))</f>
        <v/>
      </c>
      <c r="O20" s="33"/>
    </row>
    <row r="21" customFormat="false" ht="15" hidden="false" customHeight="false" outlineLevel="0" collapsed="false">
      <c r="A21" s="31"/>
      <c r="B21" s="32" t="str">
        <f aca="false">IF(A21="","",TEXT(A21,"dddd"))</f>
        <v/>
      </c>
      <c r="C21" s="33"/>
      <c r="D21" s="33"/>
      <c r="E21" s="33"/>
      <c r="F21" s="34"/>
      <c r="G21" s="33"/>
      <c r="H21" s="35" t="n">
        <f aca="false">IF(D21=0,0,E21/D21)</f>
        <v>0</v>
      </c>
      <c r="I21" s="36" t="n">
        <f aca="false">IF(E21=0,0,F21/E21)</f>
        <v>0</v>
      </c>
      <c r="J21" s="36" t="str">
        <f aca="false">IF(G21=0,"—",F21/G21)</f>
        <v>—</v>
      </c>
      <c r="K21" s="36" t="n">
        <f aca="false">G21*134</f>
        <v>0</v>
      </c>
      <c r="L21" s="37" t="str">
        <f aca="false">IF(F21=0,"—",K21/F21)</f>
        <v>—</v>
      </c>
      <c r="M21" s="36" t="n">
        <f aca="false">K21-F21</f>
        <v>0</v>
      </c>
      <c r="N21" s="32" t="str">
        <f aca="false">IF(A21="","",IF(G21&gt;0,IF(F21/IF(G21=0,1,G21)&gt;134,"⚠️ Verificar","✅ Converteu!"),"📊 Coletando dados"))</f>
        <v/>
      </c>
      <c r="O21" s="33"/>
    </row>
    <row r="22" customFormat="false" ht="15" hidden="false" customHeight="false" outlineLevel="0" collapsed="false">
      <c r="A22" s="31"/>
      <c r="B22" s="32" t="str">
        <f aca="false">IF(A22="","",TEXT(A22,"dddd"))</f>
        <v/>
      </c>
      <c r="C22" s="33"/>
      <c r="D22" s="33"/>
      <c r="E22" s="33"/>
      <c r="F22" s="34"/>
      <c r="G22" s="33"/>
      <c r="H22" s="35" t="n">
        <f aca="false">IF(D22=0,0,E22/D22)</f>
        <v>0</v>
      </c>
      <c r="I22" s="36" t="n">
        <f aca="false">IF(E22=0,0,F22/E22)</f>
        <v>0</v>
      </c>
      <c r="J22" s="36" t="str">
        <f aca="false">IF(G22=0,"—",F22/G22)</f>
        <v>—</v>
      </c>
      <c r="K22" s="36" t="n">
        <f aca="false">G22*134</f>
        <v>0</v>
      </c>
      <c r="L22" s="37" t="str">
        <f aca="false">IF(F22=0,"—",K22/F22)</f>
        <v>—</v>
      </c>
      <c r="M22" s="36" t="n">
        <f aca="false">K22-F22</f>
        <v>0</v>
      </c>
      <c r="N22" s="32" t="str">
        <f aca="false">IF(A22="","",IF(G22&gt;0,IF(F22/IF(G22=0,1,G22)&gt;134,"⚠️ Verificar","✅ Converteu!"),"📊 Coletando dados"))</f>
        <v/>
      </c>
      <c r="O22" s="33"/>
    </row>
    <row r="23" customFormat="false" ht="15" hidden="false" customHeight="false" outlineLevel="0" collapsed="false">
      <c r="A23" s="31"/>
      <c r="B23" s="32" t="str">
        <f aca="false">IF(A23="","",TEXT(A23,"dddd"))</f>
        <v/>
      </c>
      <c r="C23" s="33"/>
      <c r="D23" s="33"/>
      <c r="E23" s="33"/>
      <c r="F23" s="34"/>
      <c r="G23" s="33"/>
      <c r="H23" s="35" t="n">
        <f aca="false">IF(D23=0,0,E23/D23)</f>
        <v>0</v>
      </c>
      <c r="I23" s="36" t="n">
        <f aca="false">IF(E23=0,0,F23/E23)</f>
        <v>0</v>
      </c>
      <c r="J23" s="36" t="str">
        <f aca="false">IF(G23=0,"—",F23/G23)</f>
        <v>—</v>
      </c>
      <c r="K23" s="36" t="n">
        <f aca="false">G23*134</f>
        <v>0</v>
      </c>
      <c r="L23" s="37" t="str">
        <f aca="false">IF(F23=0,"—",K23/F23)</f>
        <v>—</v>
      </c>
      <c r="M23" s="36" t="n">
        <f aca="false">K23-F23</f>
        <v>0</v>
      </c>
      <c r="N23" s="32" t="str">
        <f aca="false">IF(A23="","",IF(G23&gt;0,IF(F23/IF(G23=0,1,G23)&gt;134,"⚠️ Verificar","✅ Converteu!"),"📊 Coletando dados"))</f>
        <v/>
      </c>
      <c r="O23" s="33"/>
    </row>
    <row r="24" customFormat="false" ht="15" hidden="false" customHeight="false" outlineLevel="0" collapsed="false">
      <c r="A24" s="31"/>
      <c r="B24" s="32" t="str">
        <f aca="false">IF(A24="","",TEXT(A24,"dddd"))</f>
        <v/>
      </c>
      <c r="C24" s="33"/>
      <c r="D24" s="33"/>
      <c r="E24" s="33"/>
      <c r="F24" s="34"/>
      <c r="G24" s="33"/>
      <c r="H24" s="35" t="n">
        <f aca="false">IF(D24=0,0,E24/D24)</f>
        <v>0</v>
      </c>
      <c r="I24" s="36" t="n">
        <f aca="false">IF(E24=0,0,F24/E24)</f>
        <v>0</v>
      </c>
      <c r="J24" s="36" t="str">
        <f aca="false">IF(G24=0,"—",F24/G24)</f>
        <v>—</v>
      </c>
      <c r="K24" s="36" t="n">
        <f aca="false">G24*134</f>
        <v>0</v>
      </c>
      <c r="L24" s="37" t="str">
        <f aca="false">IF(F24=0,"—",K24/F24)</f>
        <v>—</v>
      </c>
      <c r="M24" s="36" t="n">
        <f aca="false">K24-F24</f>
        <v>0</v>
      </c>
      <c r="N24" s="32" t="str">
        <f aca="false">IF(A24="","",IF(G24&gt;0,IF(F24/IF(G24=0,1,G24)&gt;134,"⚠️ Verificar","✅ Converteu!"),"📊 Coletando dados"))</f>
        <v/>
      </c>
      <c r="O24" s="33"/>
    </row>
    <row r="25" customFormat="false" ht="15" hidden="false" customHeight="false" outlineLevel="0" collapsed="false">
      <c r="A25" s="31"/>
      <c r="B25" s="32" t="str">
        <f aca="false">IF(A25="","",TEXT(A25,"dddd"))</f>
        <v/>
      </c>
      <c r="C25" s="33"/>
      <c r="D25" s="33"/>
      <c r="E25" s="33"/>
      <c r="F25" s="34"/>
      <c r="G25" s="33"/>
      <c r="H25" s="35" t="n">
        <f aca="false">IF(D25=0,0,E25/D25)</f>
        <v>0</v>
      </c>
      <c r="I25" s="36" t="n">
        <f aca="false">IF(E25=0,0,F25/E25)</f>
        <v>0</v>
      </c>
      <c r="J25" s="36" t="str">
        <f aca="false">IF(G25=0,"—",F25/G25)</f>
        <v>—</v>
      </c>
      <c r="K25" s="36" t="n">
        <f aca="false">G25*134</f>
        <v>0</v>
      </c>
      <c r="L25" s="37" t="str">
        <f aca="false">IF(F25=0,"—",K25/F25)</f>
        <v>—</v>
      </c>
      <c r="M25" s="36" t="n">
        <f aca="false">K25-F25</f>
        <v>0</v>
      </c>
      <c r="N25" s="32" t="str">
        <f aca="false">IF(A25="","",IF(G25&gt;0,IF(F25/IF(G25=0,1,G25)&gt;134,"⚠️ Verificar","✅ Converteu!"),"📊 Coletando dados"))</f>
        <v/>
      </c>
      <c r="O25" s="33"/>
    </row>
    <row r="26" customFormat="false" ht="15" hidden="false" customHeight="false" outlineLevel="0" collapsed="false">
      <c r="A26" s="31"/>
      <c r="B26" s="32" t="str">
        <f aca="false">IF(A26="","",TEXT(A26,"dddd"))</f>
        <v/>
      </c>
      <c r="C26" s="33"/>
      <c r="D26" s="33"/>
      <c r="E26" s="33"/>
      <c r="F26" s="34"/>
      <c r="G26" s="33"/>
      <c r="H26" s="35" t="n">
        <f aca="false">IF(D26=0,0,E26/D26)</f>
        <v>0</v>
      </c>
      <c r="I26" s="36" t="n">
        <f aca="false">IF(E26=0,0,F26/E26)</f>
        <v>0</v>
      </c>
      <c r="J26" s="36" t="str">
        <f aca="false">IF(G26=0,"—",F26/G26)</f>
        <v>—</v>
      </c>
      <c r="K26" s="36" t="n">
        <f aca="false">G26*134</f>
        <v>0</v>
      </c>
      <c r="L26" s="37" t="str">
        <f aca="false">IF(F26=0,"—",K26/F26)</f>
        <v>—</v>
      </c>
      <c r="M26" s="36" t="n">
        <f aca="false">K26-F26</f>
        <v>0</v>
      </c>
      <c r="N26" s="32" t="str">
        <f aca="false">IF(A26="","",IF(G26&gt;0,IF(F26/IF(G26=0,1,G26)&gt;134,"⚠️ Verificar","✅ Converteu!"),"📊 Coletando dados"))</f>
        <v/>
      </c>
      <c r="O26" s="33"/>
    </row>
    <row r="27" customFormat="false" ht="15" hidden="false" customHeight="false" outlineLevel="0" collapsed="false">
      <c r="A27" s="31"/>
      <c r="B27" s="32" t="str">
        <f aca="false">IF(A27="","",TEXT(A27,"dddd"))</f>
        <v/>
      </c>
      <c r="C27" s="33"/>
      <c r="D27" s="33"/>
      <c r="E27" s="33"/>
      <c r="F27" s="34"/>
      <c r="G27" s="33"/>
      <c r="H27" s="35" t="n">
        <f aca="false">IF(D27=0,0,E27/D27)</f>
        <v>0</v>
      </c>
      <c r="I27" s="36" t="n">
        <f aca="false">IF(E27=0,0,F27/E27)</f>
        <v>0</v>
      </c>
      <c r="J27" s="36" t="str">
        <f aca="false">IF(G27=0,"—",F27/G27)</f>
        <v>—</v>
      </c>
      <c r="K27" s="36" t="n">
        <f aca="false">G27*134</f>
        <v>0</v>
      </c>
      <c r="L27" s="37" t="str">
        <f aca="false">IF(F27=0,"—",K27/F27)</f>
        <v>—</v>
      </c>
      <c r="M27" s="36" t="n">
        <f aca="false">K27-F27</f>
        <v>0</v>
      </c>
      <c r="N27" s="32" t="str">
        <f aca="false">IF(A27="","",IF(G27&gt;0,IF(F27/IF(G27=0,1,G27)&gt;134,"⚠️ Verificar","✅ Converteu!"),"📊 Coletando dados"))</f>
        <v/>
      </c>
      <c r="O27" s="33"/>
    </row>
    <row r="28" customFormat="false" ht="15" hidden="false" customHeight="false" outlineLevel="0" collapsed="false">
      <c r="A28" s="31"/>
      <c r="B28" s="32" t="str">
        <f aca="false">IF(A28="","",TEXT(A28,"dddd"))</f>
        <v/>
      </c>
      <c r="C28" s="33"/>
      <c r="D28" s="33"/>
      <c r="E28" s="33"/>
      <c r="F28" s="34"/>
      <c r="G28" s="33"/>
      <c r="H28" s="35" t="n">
        <f aca="false">IF(D28=0,0,E28/D28)</f>
        <v>0</v>
      </c>
      <c r="I28" s="36" t="n">
        <f aca="false">IF(E28=0,0,F28/E28)</f>
        <v>0</v>
      </c>
      <c r="J28" s="36" t="str">
        <f aca="false">IF(G28=0,"—",F28/G28)</f>
        <v>—</v>
      </c>
      <c r="K28" s="36" t="n">
        <f aca="false">G28*134</f>
        <v>0</v>
      </c>
      <c r="L28" s="37" t="str">
        <f aca="false">IF(F28=0,"—",K28/F28)</f>
        <v>—</v>
      </c>
      <c r="M28" s="36" t="n">
        <f aca="false">K28-F28</f>
        <v>0</v>
      </c>
      <c r="N28" s="32" t="str">
        <f aca="false">IF(A28="","",IF(G28&gt;0,IF(F28/IF(G28=0,1,G28)&gt;134,"⚠️ Verificar","✅ Converteu!"),"📊 Coletando dados"))</f>
        <v/>
      </c>
      <c r="O28" s="33"/>
    </row>
    <row r="29" customFormat="false" ht="15" hidden="false" customHeight="false" outlineLevel="0" collapsed="false">
      <c r="A29" s="31"/>
      <c r="B29" s="32" t="str">
        <f aca="false">IF(A29="","",TEXT(A29,"dddd"))</f>
        <v/>
      </c>
      <c r="C29" s="33"/>
      <c r="D29" s="33"/>
      <c r="E29" s="33"/>
      <c r="F29" s="34"/>
      <c r="G29" s="33"/>
      <c r="H29" s="35" t="n">
        <f aca="false">IF(D29=0,0,E29/D29)</f>
        <v>0</v>
      </c>
      <c r="I29" s="36" t="n">
        <f aca="false">IF(E29=0,0,F29/E29)</f>
        <v>0</v>
      </c>
      <c r="J29" s="36" t="str">
        <f aca="false">IF(G29=0,"—",F29/G29)</f>
        <v>—</v>
      </c>
      <c r="K29" s="36" t="n">
        <f aca="false">G29*134</f>
        <v>0</v>
      </c>
      <c r="L29" s="37" t="str">
        <f aca="false">IF(F29=0,"—",K29/F29)</f>
        <v>—</v>
      </c>
      <c r="M29" s="36" t="n">
        <f aca="false">K29-F29</f>
        <v>0</v>
      </c>
      <c r="N29" s="32" t="str">
        <f aca="false">IF(A29="","",IF(G29&gt;0,IF(F29/IF(G29=0,1,G29)&gt;134,"⚠️ Verificar","✅ Converteu!"),"📊 Coletando dados"))</f>
        <v/>
      </c>
      <c r="O29" s="33"/>
    </row>
    <row r="30" customFormat="false" ht="15" hidden="false" customHeight="false" outlineLevel="0" collapsed="false">
      <c r="A30" s="31"/>
      <c r="B30" s="32" t="str">
        <f aca="false">IF(A30="","",TEXT(A30,"dddd"))</f>
        <v/>
      </c>
      <c r="C30" s="33"/>
      <c r="D30" s="33"/>
      <c r="E30" s="33"/>
      <c r="F30" s="34"/>
      <c r="G30" s="33"/>
      <c r="H30" s="35" t="n">
        <f aca="false">IF(D30=0,0,E30/D30)</f>
        <v>0</v>
      </c>
      <c r="I30" s="36" t="n">
        <f aca="false">IF(E30=0,0,F30/E30)</f>
        <v>0</v>
      </c>
      <c r="J30" s="36" t="str">
        <f aca="false">IF(G30=0,"—",F30/G30)</f>
        <v>—</v>
      </c>
      <c r="K30" s="36" t="n">
        <f aca="false">G30*134</f>
        <v>0</v>
      </c>
      <c r="L30" s="37" t="str">
        <f aca="false">IF(F30=0,"—",K30/F30)</f>
        <v>—</v>
      </c>
      <c r="M30" s="36" t="n">
        <f aca="false">K30-F30</f>
        <v>0</v>
      </c>
      <c r="N30" s="32" t="str">
        <f aca="false">IF(A30="","",IF(G30&gt;0,IF(F30/IF(G30=0,1,G30)&gt;134,"⚠️ Verificar","✅ Converteu!"),"📊 Coletando dados"))</f>
        <v/>
      </c>
      <c r="O30" s="33"/>
    </row>
    <row r="31" customFormat="false" ht="15" hidden="false" customHeight="false" outlineLevel="0" collapsed="false">
      <c r="A31" s="31"/>
      <c r="B31" s="32" t="str">
        <f aca="false">IF(A31="","",TEXT(A31,"dddd"))</f>
        <v/>
      </c>
      <c r="C31" s="33"/>
      <c r="D31" s="33"/>
      <c r="E31" s="33"/>
      <c r="F31" s="34"/>
      <c r="G31" s="33"/>
      <c r="H31" s="35" t="n">
        <f aca="false">IF(D31=0,0,E31/D31)</f>
        <v>0</v>
      </c>
      <c r="I31" s="36" t="n">
        <f aca="false">IF(E31=0,0,F31/E31)</f>
        <v>0</v>
      </c>
      <c r="J31" s="36" t="str">
        <f aca="false">IF(G31=0,"—",F31/G31)</f>
        <v>—</v>
      </c>
      <c r="K31" s="36" t="n">
        <f aca="false">G31*134</f>
        <v>0</v>
      </c>
      <c r="L31" s="37" t="str">
        <f aca="false">IF(F31=0,"—",K31/F31)</f>
        <v>—</v>
      </c>
      <c r="M31" s="36" t="n">
        <f aca="false">K31-F31</f>
        <v>0</v>
      </c>
      <c r="N31" s="32" t="str">
        <f aca="false">IF(A31="","",IF(G31&gt;0,IF(F31/IF(G31=0,1,G31)&gt;134,"⚠️ Verificar","✅ Converteu!"),"📊 Coletando dados"))</f>
        <v/>
      </c>
      <c r="O31" s="33"/>
    </row>
    <row r="32" customFormat="false" ht="15" hidden="false" customHeight="false" outlineLevel="0" collapsed="false">
      <c r="A32" s="31"/>
      <c r="B32" s="32" t="str">
        <f aca="false">IF(A32="","",TEXT(A32,"dddd"))</f>
        <v/>
      </c>
      <c r="C32" s="33"/>
      <c r="D32" s="33"/>
      <c r="E32" s="33"/>
      <c r="F32" s="34"/>
      <c r="G32" s="33"/>
      <c r="H32" s="35" t="n">
        <f aca="false">IF(D32=0,0,E32/D32)</f>
        <v>0</v>
      </c>
      <c r="I32" s="36" t="n">
        <f aca="false">IF(E32=0,0,F32/E32)</f>
        <v>0</v>
      </c>
      <c r="J32" s="36" t="str">
        <f aca="false">IF(G32=0,"—",F32/G32)</f>
        <v>—</v>
      </c>
      <c r="K32" s="36" t="n">
        <f aca="false">G32*134</f>
        <v>0</v>
      </c>
      <c r="L32" s="37" t="str">
        <f aca="false">IF(F32=0,"—",K32/F32)</f>
        <v>—</v>
      </c>
      <c r="M32" s="36" t="n">
        <f aca="false">K32-F32</f>
        <v>0</v>
      </c>
      <c r="N32" s="32" t="str">
        <f aca="false">IF(A32="","",IF(G32&gt;0,IF(F32/IF(G32=0,1,G32)&gt;134,"⚠️ Verificar","✅ Converteu!"),"📊 Coletando dados"))</f>
        <v/>
      </c>
      <c r="O32" s="33"/>
    </row>
    <row r="33" customFormat="false" ht="15" hidden="false" customHeight="false" outlineLevel="0" collapsed="false">
      <c r="A33" s="31"/>
      <c r="B33" s="32" t="str">
        <f aca="false">IF(A33="","",TEXT(A33,"dddd"))</f>
        <v/>
      </c>
      <c r="C33" s="33"/>
      <c r="D33" s="33"/>
      <c r="E33" s="33"/>
      <c r="F33" s="34"/>
      <c r="G33" s="33"/>
      <c r="H33" s="35" t="n">
        <f aca="false">IF(D33=0,0,E33/D33)</f>
        <v>0</v>
      </c>
      <c r="I33" s="36" t="n">
        <f aca="false">IF(E33=0,0,F33/E33)</f>
        <v>0</v>
      </c>
      <c r="J33" s="36" t="str">
        <f aca="false">IF(G33=0,"—",F33/G33)</f>
        <v>—</v>
      </c>
      <c r="K33" s="36" t="n">
        <f aca="false">G33*134</f>
        <v>0</v>
      </c>
      <c r="L33" s="37" t="str">
        <f aca="false">IF(F33=0,"—",K33/F33)</f>
        <v>—</v>
      </c>
      <c r="M33" s="36" t="n">
        <f aca="false">K33-F33</f>
        <v>0</v>
      </c>
      <c r="N33" s="32" t="str">
        <f aca="false">IF(A33="","",IF(G33&gt;0,IF(F33/IF(G33=0,1,G33)&gt;134,"⚠️ Verificar","✅ Converteu!"),"📊 Coletando dados"))</f>
        <v/>
      </c>
      <c r="O33" s="33"/>
    </row>
    <row r="34" customFormat="false" ht="15" hidden="false" customHeight="false" outlineLevel="0" collapsed="false">
      <c r="A34" s="31"/>
      <c r="B34" s="32" t="str">
        <f aca="false">IF(A34="","",TEXT(A34,"dddd"))</f>
        <v/>
      </c>
      <c r="C34" s="33"/>
      <c r="D34" s="33"/>
      <c r="E34" s="33"/>
      <c r="F34" s="34"/>
      <c r="G34" s="33"/>
      <c r="H34" s="35" t="n">
        <f aca="false">IF(D34=0,0,E34/D34)</f>
        <v>0</v>
      </c>
      <c r="I34" s="36" t="n">
        <f aca="false">IF(E34=0,0,F34/E34)</f>
        <v>0</v>
      </c>
      <c r="J34" s="36" t="str">
        <f aca="false">IF(G34=0,"—",F34/G34)</f>
        <v>—</v>
      </c>
      <c r="K34" s="36" t="n">
        <f aca="false">G34*134</f>
        <v>0</v>
      </c>
      <c r="L34" s="37" t="str">
        <f aca="false">IF(F34=0,"—",K34/F34)</f>
        <v>—</v>
      </c>
      <c r="M34" s="36" t="n">
        <f aca="false">K34-F34</f>
        <v>0</v>
      </c>
      <c r="N34" s="32" t="str">
        <f aca="false">IF(A34="","",IF(G34&gt;0,IF(F34/IF(G34=0,1,G34)&gt;134,"⚠️ Verificar","✅ Converteu!"),"📊 Coletando dados"))</f>
        <v/>
      </c>
      <c r="O34" s="33"/>
    </row>
    <row r="35" customFormat="false" ht="15" hidden="false" customHeight="false" outlineLevel="0" collapsed="false">
      <c r="A35" s="31"/>
      <c r="B35" s="32" t="str">
        <f aca="false">IF(A35="","",TEXT(A35,"dddd"))</f>
        <v/>
      </c>
      <c r="C35" s="33"/>
      <c r="D35" s="33"/>
      <c r="E35" s="33"/>
      <c r="F35" s="34"/>
      <c r="G35" s="33"/>
      <c r="H35" s="35" t="n">
        <f aca="false">IF(D35=0,0,E35/D35)</f>
        <v>0</v>
      </c>
      <c r="I35" s="36" t="n">
        <f aca="false">IF(E35=0,0,F35/E35)</f>
        <v>0</v>
      </c>
      <c r="J35" s="36" t="str">
        <f aca="false">IF(G35=0,"—",F35/G35)</f>
        <v>—</v>
      </c>
      <c r="K35" s="36" t="n">
        <f aca="false">G35*134</f>
        <v>0</v>
      </c>
      <c r="L35" s="37" t="str">
        <f aca="false">IF(F35=0,"—",K35/F35)</f>
        <v>—</v>
      </c>
      <c r="M35" s="36" t="n">
        <f aca="false">K35-F35</f>
        <v>0</v>
      </c>
      <c r="N35" s="32" t="str">
        <f aca="false">IF(A35="","",IF(G35&gt;0,IF(F35/IF(G35=0,1,G35)&gt;134,"⚠️ Verificar","✅ Converteu!"),"📊 Coletando dados"))</f>
        <v/>
      </c>
      <c r="O35" s="33"/>
    </row>
    <row r="37" customFormat="false" ht="15" hidden="false" customHeight="false" outlineLevel="0" collapsed="false">
      <c r="A37" s="38" t="s">
        <v>398</v>
      </c>
      <c r="B37" s="38"/>
      <c r="C37" s="38" t="s">
        <v>174</v>
      </c>
      <c r="D37" s="38" t="n">
        <f aca="false">SUM(D5:D35)</f>
        <v>0</v>
      </c>
      <c r="E37" s="38" t="n">
        <f aca="false">SUM(E5:E35)</f>
        <v>0</v>
      </c>
      <c r="F37" s="39" t="n">
        <f aca="false">SUM(F5:F35)</f>
        <v>0</v>
      </c>
      <c r="G37" s="38" t="n">
        <f aca="false">SUM(G5:G35)</f>
        <v>0</v>
      </c>
      <c r="H37" s="40" t="n">
        <f aca="false">IF(D37=0,0,E37/D37)</f>
        <v>0</v>
      </c>
      <c r="I37" s="39" t="n">
        <f aca="false">IF(E37=0,0,F37/E37)</f>
        <v>0</v>
      </c>
      <c r="J37" s="39" t="str">
        <f aca="false">IF(G37=0,"—",F37/G37)</f>
        <v>—</v>
      </c>
      <c r="K37" s="39" t="n">
        <f aca="false">SUM(K5:K35)</f>
        <v>0</v>
      </c>
      <c r="L37" s="41" t="str">
        <f aca="false">IF(F37=0,"—",K37/F37)</f>
        <v>—</v>
      </c>
      <c r="M37" s="39" t="n">
        <f aca="false">K37-F37</f>
        <v>0</v>
      </c>
      <c r="N37" s="38"/>
      <c r="O37" s="38"/>
    </row>
    <row r="39" customFormat="false" ht="15" hidden="false" customHeight="false" outlineLevel="0" collapsed="false">
      <c r="A39" s="19" t="s">
        <v>399</v>
      </c>
      <c r="C39" s="42" t="str">
        <f aca="false">IF(AND(F37&gt;=402,G37=0),"🚨 GASTO ≥ $402 SEM CONVERSÃO — AVALIAR TROCA DE OFERTA!","✅ Dentro do limite")</f>
        <v>✅ Dentro do limite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</sheetData>
  <autoFilter ref="A4:O35"/>
  <mergeCells count="4">
    <mergeCell ref="A1:O1"/>
    <mergeCell ref="A2:O2"/>
    <mergeCell ref="A37:B37"/>
    <mergeCell ref="C39:O39"/>
  </mergeCells>
  <conditionalFormatting sqref="J5:J35">
    <cfRule type="cellIs" priority="2" operator="greaterThan" aboveAverage="0" equalAverage="0" bottom="0" percent="0" rank="0" text="" dxfId="7">
      <formula>134</formula>
    </cfRule>
  </conditionalFormatting>
  <conditionalFormatting sqref="L5:L35">
    <cfRule type="cellIs" priority="3" operator="greaterThanOrEqual" aboveAverage="0" equalAverage="0" bottom="0" percent="0" rank="0" text="" dxfId="8">
      <formula>1</formula>
    </cfRule>
  </conditionalFormatting>
  <conditionalFormatting sqref="G5:G35">
    <cfRule type="cellIs" priority="4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25"/>
  </cols>
  <sheetData>
    <row r="1" customFormat="false" ht="17.35" hidden="false" customHeight="false" outlineLevel="0" collapsed="false">
      <c r="A1" s="5" t="s">
        <v>400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customFormat="false" ht="15" hidden="false" customHeight="false" outlineLevel="0" collapsed="false">
      <c r="A3" s="19" t="s">
        <v>401</v>
      </c>
      <c r="B3" s="43" t="s">
        <v>402</v>
      </c>
      <c r="C3" s="44" t="n">
        <v>2</v>
      </c>
      <c r="D3" s="43" t="s">
        <v>403</v>
      </c>
      <c r="E3" s="45" t="n">
        <v>134</v>
      </c>
      <c r="F3" s="43" t="s">
        <v>404</v>
      </c>
      <c r="G3" s="46" t="n">
        <f aca="false">E3*3</f>
        <v>402</v>
      </c>
      <c r="H3" s="43" t="s">
        <v>405</v>
      </c>
      <c r="I3" s="47" t="n">
        <v>100</v>
      </c>
    </row>
    <row r="5" customFormat="false" ht="28.35" hidden="false" customHeight="false" outlineLevel="0" collapsed="false">
      <c r="A5" s="6" t="s">
        <v>406</v>
      </c>
      <c r="B5" s="6" t="s">
        <v>407</v>
      </c>
      <c r="C5" s="6" t="s">
        <v>408</v>
      </c>
      <c r="D5" s="6" t="s">
        <v>385</v>
      </c>
      <c r="E5" s="6" t="s">
        <v>386</v>
      </c>
      <c r="F5" s="6" t="s">
        <v>387</v>
      </c>
      <c r="G5" s="6" t="s">
        <v>388</v>
      </c>
      <c r="H5" s="6" t="s">
        <v>409</v>
      </c>
      <c r="I5" s="6" t="s">
        <v>390</v>
      </c>
      <c r="J5" s="6" t="s">
        <v>391</v>
      </c>
      <c r="K5" s="6" t="s">
        <v>392</v>
      </c>
      <c r="L5" s="6" t="s">
        <v>393</v>
      </c>
      <c r="M5" s="6" t="s">
        <v>394</v>
      </c>
      <c r="N5" s="6" t="s">
        <v>410</v>
      </c>
      <c r="O5" s="6" t="s">
        <v>411</v>
      </c>
      <c r="P5" s="6" t="s">
        <v>412</v>
      </c>
    </row>
    <row r="6" customFormat="false" ht="15" hidden="false" customHeight="false" outlineLevel="0" collapsed="false">
      <c r="A6" s="48" t="n">
        <v>1</v>
      </c>
      <c r="B6" s="49"/>
      <c r="C6" s="49"/>
      <c r="D6" s="50"/>
      <c r="E6" s="50"/>
      <c r="F6" s="51"/>
      <c r="G6" s="50"/>
      <c r="H6" s="52" t="n">
        <f aca="false">IF(D6=0,0,E6/D6)</f>
        <v>0</v>
      </c>
      <c r="I6" s="53" t="n">
        <f aca="false">IF(E6=0,0,F6/E6)</f>
        <v>0</v>
      </c>
      <c r="J6" s="53" t="str">
        <f aca="false">IF(G6=0,"—",F6/G6)</f>
        <v>—</v>
      </c>
      <c r="K6" s="53" t="n">
        <f aca="false">G6*$E$3</f>
        <v>0</v>
      </c>
      <c r="L6" s="54" t="str">
        <f aca="false">IF(F6=0,"—",K6/F6)</f>
        <v>—</v>
      </c>
      <c r="M6" s="53" t="n">
        <f aca="false">K6-F6</f>
        <v>0</v>
      </c>
      <c r="N6" s="55" t="str">
        <f aca="false">IF(E6&gt;=$I$3,"✅ Sim","⏳ Falta "&amp;$I$3-E6&amp;" cliques")</f>
        <v>⏳ Falta 100 cliques</v>
      </c>
      <c r="O6" s="55" t="str">
        <f aca="false">IF(E6&lt;$I$3,"📊 COLETAR DADOS",IF(AND(L6&gt;=$C$3,E6&gt;=$I$3),"✔ ESCALAR",IF(AND(F6&gt;=$G$3,G6=0),"✖ PAUSAR / TROCAR OFERTA",IF(AND(L6&gt;=1,L6&lt;$C$3),"⚙ OTIMIZAR","📊 COLETAR DADOS"))))</f>
        <v>📊 COLETAR DADOS</v>
      </c>
      <c r="P6" s="23"/>
    </row>
    <row r="7" customFormat="false" ht="15" hidden="false" customHeight="false" outlineLevel="0" collapsed="false">
      <c r="A7" s="48" t="n">
        <v>2</v>
      </c>
      <c r="B7" s="49"/>
      <c r="C7" s="49"/>
      <c r="D7" s="50"/>
      <c r="E7" s="50"/>
      <c r="F7" s="51"/>
      <c r="G7" s="50"/>
      <c r="H7" s="52" t="n">
        <f aca="false">IF(D7=0,0,E7/D7)</f>
        <v>0</v>
      </c>
      <c r="I7" s="53" t="n">
        <f aca="false">IF(E7=0,0,F7/E7)</f>
        <v>0</v>
      </c>
      <c r="J7" s="53" t="str">
        <f aca="false">IF(G7=0,"—",F7/G7)</f>
        <v>—</v>
      </c>
      <c r="K7" s="53" t="n">
        <f aca="false">G7*$E$3</f>
        <v>0</v>
      </c>
      <c r="L7" s="54" t="str">
        <f aca="false">IF(F7=0,"—",K7/F7)</f>
        <v>—</v>
      </c>
      <c r="M7" s="53" t="n">
        <f aca="false">K7-F7</f>
        <v>0</v>
      </c>
      <c r="N7" s="55" t="str">
        <f aca="false">IF(E7&gt;=$I$3,"✅ Sim","⏳ Falta "&amp;$I$3-E7&amp;" cliques")</f>
        <v>⏳ Falta 100 cliques</v>
      </c>
      <c r="O7" s="55" t="str">
        <f aca="false">IF(E7&lt;$I$3,"📊 COLETAR DADOS",IF(AND(L7&gt;=$C$3,E7&gt;=$I$3),"✔ ESCALAR",IF(AND(F7&gt;=$G$3,G7=0),"✖ PAUSAR / TROCAR OFERTA",IF(AND(L7&gt;=1,L7&lt;$C$3),"⚙ OTIMIZAR","📊 COLETAR DADOS"))))</f>
        <v>📊 COLETAR DADOS</v>
      </c>
      <c r="P7" s="23"/>
    </row>
    <row r="8" customFormat="false" ht="15" hidden="false" customHeight="false" outlineLevel="0" collapsed="false">
      <c r="A8" s="48" t="n">
        <v>3</v>
      </c>
      <c r="B8" s="49"/>
      <c r="C8" s="49"/>
      <c r="D8" s="50"/>
      <c r="E8" s="50"/>
      <c r="F8" s="51"/>
      <c r="G8" s="50"/>
      <c r="H8" s="52" t="n">
        <f aca="false">IF(D8=0,0,E8/D8)</f>
        <v>0</v>
      </c>
      <c r="I8" s="53" t="n">
        <f aca="false">IF(E8=0,0,F8/E8)</f>
        <v>0</v>
      </c>
      <c r="J8" s="53" t="str">
        <f aca="false">IF(G8=0,"—",F8/G8)</f>
        <v>—</v>
      </c>
      <c r="K8" s="53" t="n">
        <f aca="false">G8*$E$3</f>
        <v>0</v>
      </c>
      <c r="L8" s="54" t="str">
        <f aca="false">IF(F8=0,"—",K8/F8)</f>
        <v>—</v>
      </c>
      <c r="M8" s="53" t="n">
        <f aca="false">K8-F8</f>
        <v>0</v>
      </c>
      <c r="N8" s="55" t="str">
        <f aca="false">IF(E8&gt;=$I$3,"✅ Sim","⏳ Falta "&amp;$I$3-E8&amp;" cliques")</f>
        <v>⏳ Falta 100 cliques</v>
      </c>
      <c r="O8" s="55" t="str">
        <f aca="false">IF(E8&lt;$I$3,"📊 COLETAR DADOS",IF(AND(L8&gt;=$C$3,E8&gt;=$I$3),"✔ ESCALAR",IF(AND(F8&gt;=$G$3,G8=0),"✖ PAUSAR / TROCAR OFERTA",IF(AND(L8&gt;=1,L8&lt;$C$3),"⚙ OTIMIZAR","📊 COLETAR DADOS"))))</f>
        <v>📊 COLETAR DADOS</v>
      </c>
      <c r="P8" s="23"/>
    </row>
    <row r="9" customFormat="false" ht="15" hidden="false" customHeight="false" outlineLevel="0" collapsed="false">
      <c r="A9" s="48" t="n">
        <v>4</v>
      </c>
      <c r="B9" s="49"/>
      <c r="C9" s="49"/>
      <c r="D9" s="50"/>
      <c r="E9" s="50"/>
      <c r="F9" s="51"/>
      <c r="G9" s="50"/>
      <c r="H9" s="52" t="n">
        <f aca="false">IF(D9=0,0,E9/D9)</f>
        <v>0</v>
      </c>
      <c r="I9" s="53" t="n">
        <f aca="false">IF(E9=0,0,F9/E9)</f>
        <v>0</v>
      </c>
      <c r="J9" s="53" t="str">
        <f aca="false">IF(G9=0,"—",F9/G9)</f>
        <v>—</v>
      </c>
      <c r="K9" s="53" t="n">
        <f aca="false">G9*$E$3</f>
        <v>0</v>
      </c>
      <c r="L9" s="54" t="str">
        <f aca="false">IF(F9=0,"—",K9/F9)</f>
        <v>—</v>
      </c>
      <c r="M9" s="53" t="n">
        <f aca="false">K9-F9</f>
        <v>0</v>
      </c>
      <c r="N9" s="55" t="str">
        <f aca="false">IF(E9&gt;=$I$3,"✅ Sim","⏳ Falta "&amp;$I$3-E9&amp;" cliques")</f>
        <v>⏳ Falta 100 cliques</v>
      </c>
      <c r="O9" s="55" t="str">
        <f aca="false">IF(E9&lt;$I$3,"📊 COLETAR DADOS",IF(AND(L9&gt;=$C$3,E9&gt;=$I$3),"✔ ESCALAR",IF(AND(F9&gt;=$G$3,G9=0),"✖ PAUSAR / TROCAR OFERTA",IF(AND(L9&gt;=1,L9&lt;$C$3),"⚙ OTIMIZAR","📊 COLETAR DADOS"))))</f>
        <v>📊 COLETAR DADOS</v>
      </c>
      <c r="P9" s="23"/>
    </row>
    <row r="10" customFormat="false" ht="15" hidden="false" customHeight="false" outlineLevel="0" collapsed="false">
      <c r="A10" s="48" t="n">
        <v>5</v>
      </c>
      <c r="B10" s="49"/>
      <c r="C10" s="49"/>
      <c r="D10" s="50"/>
      <c r="E10" s="50"/>
      <c r="F10" s="51"/>
      <c r="G10" s="50"/>
      <c r="H10" s="52" t="n">
        <f aca="false">IF(D10=0,0,E10/D10)</f>
        <v>0</v>
      </c>
      <c r="I10" s="53" t="n">
        <f aca="false">IF(E10=0,0,F10/E10)</f>
        <v>0</v>
      </c>
      <c r="J10" s="53" t="str">
        <f aca="false">IF(G10=0,"—",F10/G10)</f>
        <v>—</v>
      </c>
      <c r="K10" s="53" t="n">
        <f aca="false">G10*$E$3</f>
        <v>0</v>
      </c>
      <c r="L10" s="54" t="str">
        <f aca="false">IF(F10=0,"—",K10/F10)</f>
        <v>—</v>
      </c>
      <c r="M10" s="53" t="n">
        <f aca="false">K10-F10</f>
        <v>0</v>
      </c>
      <c r="N10" s="55" t="str">
        <f aca="false">IF(E10&gt;=$I$3,"✅ Sim","⏳ Falta "&amp;$I$3-E10&amp;" cliques")</f>
        <v>⏳ Falta 100 cliques</v>
      </c>
      <c r="O10" s="55" t="str">
        <f aca="false">IF(E10&lt;$I$3,"📊 COLETAR DADOS",IF(AND(L10&gt;=$C$3,E10&gt;=$I$3),"✔ ESCALAR",IF(AND(F10&gt;=$G$3,G10=0),"✖ PAUSAR / TROCAR OFERTA",IF(AND(L10&gt;=1,L10&lt;$C$3),"⚙ OTIMIZAR","📊 COLETAR DADOS"))))</f>
        <v>📊 COLETAR DADOS</v>
      </c>
      <c r="P10" s="23"/>
    </row>
    <row r="11" customFormat="false" ht="15" hidden="false" customHeight="false" outlineLevel="0" collapsed="false">
      <c r="A11" s="48" t="n">
        <v>6</v>
      </c>
      <c r="B11" s="49"/>
      <c r="C11" s="49"/>
      <c r="D11" s="50"/>
      <c r="E11" s="50"/>
      <c r="F11" s="51"/>
      <c r="G11" s="50"/>
      <c r="H11" s="52" t="n">
        <f aca="false">IF(D11=0,0,E11/D11)</f>
        <v>0</v>
      </c>
      <c r="I11" s="53" t="n">
        <f aca="false">IF(E11=0,0,F11/E11)</f>
        <v>0</v>
      </c>
      <c r="J11" s="53" t="str">
        <f aca="false">IF(G11=0,"—",F11/G11)</f>
        <v>—</v>
      </c>
      <c r="K11" s="53" t="n">
        <f aca="false">G11*$E$3</f>
        <v>0</v>
      </c>
      <c r="L11" s="54" t="str">
        <f aca="false">IF(F11=0,"—",K11/F11)</f>
        <v>—</v>
      </c>
      <c r="M11" s="53" t="n">
        <f aca="false">K11-F11</f>
        <v>0</v>
      </c>
      <c r="N11" s="55" t="str">
        <f aca="false">IF(E11&gt;=$I$3,"✅ Sim","⏳ Falta "&amp;$I$3-E11&amp;" cliques")</f>
        <v>⏳ Falta 100 cliques</v>
      </c>
      <c r="O11" s="55" t="str">
        <f aca="false">IF(E11&lt;$I$3,"📊 COLETAR DADOS",IF(AND(L11&gt;=$C$3,E11&gt;=$I$3),"✔ ESCALAR",IF(AND(F11&gt;=$G$3,G11=0),"✖ PAUSAR / TROCAR OFERTA",IF(AND(L11&gt;=1,L11&lt;$C$3),"⚙ OTIMIZAR","📊 COLETAR DADOS"))))</f>
        <v>📊 COLETAR DADOS</v>
      </c>
      <c r="P11" s="23"/>
    </row>
    <row r="12" customFormat="false" ht="15" hidden="false" customHeight="false" outlineLevel="0" collapsed="false">
      <c r="A12" s="48" t="n">
        <v>7</v>
      </c>
      <c r="B12" s="49"/>
      <c r="C12" s="49"/>
      <c r="D12" s="50"/>
      <c r="E12" s="50"/>
      <c r="F12" s="51"/>
      <c r="G12" s="50"/>
      <c r="H12" s="52" t="n">
        <f aca="false">IF(D12=0,0,E12/D12)</f>
        <v>0</v>
      </c>
      <c r="I12" s="53" t="n">
        <f aca="false">IF(E12=0,0,F12/E12)</f>
        <v>0</v>
      </c>
      <c r="J12" s="53" t="str">
        <f aca="false">IF(G12=0,"—",F12/G12)</f>
        <v>—</v>
      </c>
      <c r="K12" s="53" t="n">
        <f aca="false">G12*$E$3</f>
        <v>0</v>
      </c>
      <c r="L12" s="54" t="str">
        <f aca="false">IF(F12=0,"—",K12/F12)</f>
        <v>—</v>
      </c>
      <c r="M12" s="53" t="n">
        <f aca="false">K12-F12</f>
        <v>0</v>
      </c>
      <c r="N12" s="55" t="str">
        <f aca="false">IF(E12&gt;=$I$3,"✅ Sim","⏳ Falta "&amp;$I$3-E12&amp;" cliques")</f>
        <v>⏳ Falta 100 cliques</v>
      </c>
      <c r="O12" s="55" t="str">
        <f aca="false">IF(E12&lt;$I$3,"📊 COLETAR DADOS",IF(AND(L12&gt;=$C$3,E12&gt;=$I$3),"✔ ESCALAR",IF(AND(F12&gt;=$G$3,G12=0),"✖ PAUSAR / TROCAR OFERTA",IF(AND(L12&gt;=1,L12&lt;$C$3),"⚙ OTIMIZAR","📊 COLETAR DADOS"))))</f>
        <v>📊 COLETAR DADOS</v>
      </c>
      <c r="P12" s="23"/>
    </row>
    <row r="13" customFormat="false" ht="15" hidden="false" customHeight="false" outlineLevel="0" collapsed="false">
      <c r="A13" s="48" t="n">
        <v>8</v>
      </c>
      <c r="B13" s="49"/>
      <c r="C13" s="49"/>
      <c r="D13" s="50"/>
      <c r="E13" s="50"/>
      <c r="F13" s="51"/>
      <c r="G13" s="50"/>
      <c r="H13" s="52" t="n">
        <f aca="false">IF(D13=0,0,E13/D13)</f>
        <v>0</v>
      </c>
      <c r="I13" s="53" t="n">
        <f aca="false">IF(E13=0,0,F13/E13)</f>
        <v>0</v>
      </c>
      <c r="J13" s="53" t="str">
        <f aca="false">IF(G13=0,"—",F13/G13)</f>
        <v>—</v>
      </c>
      <c r="K13" s="53" t="n">
        <f aca="false">G13*$E$3</f>
        <v>0</v>
      </c>
      <c r="L13" s="54" t="str">
        <f aca="false">IF(F13=0,"—",K13/F13)</f>
        <v>—</v>
      </c>
      <c r="M13" s="53" t="n">
        <f aca="false">K13-F13</f>
        <v>0</v>
      </c>
      <c r="N13" s="55" t="str">
        <f aca="false">IF(E13&gt;=$I$3,"✅ Sim","⏳ Falta "&amp;$I$3-E13&amp;" cliques")</f>
        <v>⏳ Falta 100 cliques</v>
      </c>
      <c r="O13" s="55" t="str">
        <f aca="false">IF(E13&lt;$I$3,"📊 COLETAR DADOS",IF(AND(L13&gt;=$C$3,E13&gt;=$I$3),"✔ ESCALAR",IF(AND(F13&gt;=$G$3,G13=0),"✖ PAUSAR / TROCAR OFERTA",IF(AND(L13&gt;=1,L13&lt;$C$3),"⚙ OTIMIZAR","📊 COLETAR DADOS"))))</f>
        <v>📊 COLETAR DADOS</v>
      </c>
      <c r="P13" s="23"/>
    </row>
  </sheetData>
  <autoFilter ref="A5:P13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5" t="s">
        <v>413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56" t="s">
        <v>414</v>
      </c>
      <c r="B3" s="56"/>
    </row>
    <row r="4" customFormat="false" ht="15" hidden="false" customHeight="false" outlineLevel="0" collapsed="false">
      <c r="A4" s="57" t="s">
        <v>415</v>
      </c>
      <c r="B4" s="58" t="n">
        <v>134</v>
      </c>
    </row>
    <row r="5" customFormat="false" ht="15" hidden="false" customHeight="false" outlineLevel="0" collapsed="false">
      <c r="A5" s="57" t="s">
        <v>416</v>
      </c>
      <c r="B5" s="58" t="n">
        <v>155</v>
      </c>
    </row>
    <row r="6" customFormat="false" ht="15" hidden="false" customHeight="false" outlineLevel="0" collapsed="false">
      <c r="A6" s="57" t="s">
        <v>417</v>
      </c>
      <c r="B6" s="59" t="n">
        <v>2</v>
      </c>
    </row>
    <row r="7" customFormat="false" ht="15" hidden="false" customHeight="false" outlineLevel="0" collapsed="false">
      <c r="A7" s="57" t="s">
        <v>418</v>
      </c>
      <c r="B7" s="58" t="n">
        <v>10</v>
      </c>
    </row>
    <row r="8" customFormat="false" ht="15" hidden="false" customHeight="false" outlineLevel="0" collapsed="false">
      <c r="A8" s="57" t="s">
        <v>419</v>
      </c>
      <c r="B8" s="58" t="n">
        <v>50</v>
      </c>
    </row>
    <row r="9" customFormat="false" ht="15" hidden="false" customHeight="false" outlineLevel="0" collapsed="false">
      <c r="A9" s="57" t="s">
        <v>420</v>
      </c>
      <c r="B9" s="58" t="n">
        <v>300</v>
      </c>
    </row>
    <row r="12" customFormat="false" ht="15" hidden="false" customHeight="false" outlineLevel="0" collapsed="false">
      <c r="A12" s="56" t="s">
        <v>421</v>
      </c>
      <c r="B12" s="56"/>
    </row>
    <row r="13" customFormat="false" ht="15" hidden="false" customHeight="false" outlineLevel="0" collapsed="false">
      <c r="A13" s="57" t="s">
        <v>422</v>
      </c>
      <c r="B13" s="46" t="n">
        <f aca="false">'📊 Controle Diário'!F37</f>
        <v>0</v>
      </c>
    </row>
    <row r="14" customFormat="false" ht="15" hidden="false" customHeight="false" outlineLevel="0" collapsed="false">
      <c r="A14" s="57" t="s">
        <v>423</v>
      </c>
      <c r="B14" s="60" t="n">
        <f aca="false">'📊 Controle Diário'!E37</f>
        <v>0</v>
      </c>
    </row>
    <row r="15" customFormat="false" ht="15" hidden="false" customHeight="false" outlineLevel="0" collapsed="false">
      <c r="A15" s="57" t="s">
        <v>424</v>
      </c>
      <c r="B15" s="60" t="n">
        <f aca="false">'📊 Controle Diário'!G37</f>
        <v>0</v>
      </c>
    </row>
    <row r="16" customFormat="false" ht="15" hidden="false" customHeight="false" outlineLevel="0" collapsed="false">
      <c r="A16" s="57" t="s">
        <v>425</v>
      </c>
      <c r="B16" s="46" t="n">
        <f aca="false">'📊 Controle Diário'!K37</f>
        <v>0</v>
      </c>
    </row>
    <row r="17" customFormat="false" ht="15" hidden="false" customHeight="false" outlineLevel="0" collapsed="false">
      <c r="A17" s="57" t="s">
        <v>426</v>
      </c>
      <c r="B17" s="46" t="n">
        <f aca="false">'📊 Controle Diário'!M37</f>
        <v>0</v>
      </c>
    </row>
    <row r="18" customFormat="false" ht="15" hidden="false" customHeight="false" outlineLevel="0" collapsed="false">
      <c r="A18" s="57" t="s">
        <v>427</v>
      </c>
      <c r="B18" s="61" t="n">
        <f aca="false">IF(B13=0,0,B16/B13)</f>
        <v>0</v>
      </c>
    </row>
    <row r="19" customFormat="false" ht="15" hidden="false" customHeight="false" outlineLevel="0" collapsed="false">
      <c r="A19" s="57" t="s">
        <v>428</v>
      </c>
      <c r="B19" s="46" t="str">
        <f aca="false">IF(B15=0,"—",B13/B15)</f>
        <v>—</v>
      </c>
    </row>
    <row r="20" customFormat="false" ht="15" hidden="false" customHeight="false" outlineLevel="0" collapsed="false">
      <c r="A20" s="57" t="s">
        <v>429</v>
      </c>
      <c r="B20" s="62" t="n">
        <f aca="false">'📊 Controle Diário'!H37</f>
        <v>0</v>
      </c>
    </row>
    <row r="23" customFormat="false" ht="15" hidden="false" customHeight="false" outlineLevel="0" collapsed="false">
      <c r="A23" s="56" t="s">
        <v>430</v>
      </c>
      <c r="B23" s="56"/>
      <c r="C23" s="56"/>
      <c r="D23" s="56"/>
      <c r="E23" s="56"/>
      <c r="F23" s="56"/>
    </row>
    <row r="24" customFormat="false" ht="15" hidden="false" customHeight="false" outlineLevel="0" collapsed="false">
      <c r="A24" s="6" t="s">
        <v>384</v>
      </c>
      <c r="B24" s="6" t="s">
        <v>431</v>
      </c>
      <c r="C24" s="6" t="s">
        <v>432</v>
      </c>
      <c r="D24" s="6" t="s">
        <v>388</v>
      </c>
      <c r="E24" s="6" t="s">
        <v>433</v>
      </c>
      <c r="F24" s="6" t="s">
        <v>434</v>
      </c>
    </row>
    <row r="25" customFormat="false" ht="15" hidden="false" customHeight="false" outlineLevel="0" collapsed="false">
      <c r="A25" s="63" t="s">
        <v>208</v>
      </c>
      <c r="B25" s="63" t="s">
        <v>435</v>
      </c>
      <c r="C25" s="63" t="s">
        <v>436</v>
      </c>
      <c r="D25" s="63" t="s">
        <v>437</v>
      </c>
      <c r="E25" s="63" t="s">
        <v>438</v>
      </c>
      <c r="F25" s="63" t="s">
        <v>439</v>
      </c>
    </row>
    <row r="26" customFormat="false" ht="15" hidden="false" customHeight="false" outlineLevel="0" collapsed="false">
      <c r="A26" s="63" t="s">
        <v>440</v>
      </c>
      <c r="B26" s="63" t="s">
        <v>441</v>
      </c>
      <c r="C26" s="63" t="s">
        <v>442</v>
      </c>
      <c r="D26" s="63" t="s">
        <v>443</v>
      </c>
      <c r="E26" s="63" t="s">
        <v>444</v>
      </c>
      <c r="F26" s="63" t="s">
        <v>445</v>
      </c>
    </row>
    <row r="27" customFormat="false" ht="15" hidden="false" customHeight="false" outlineLevel="0" collapsed="false">
      <c r="A27" s="63" t="s">
        <v>446</v>
      </c>
      <c r="B27" s="63" t="s">
        <v>447</v>
      </c>
      <c r="C27" s="63" t="s">
        <v>448</v>
      </c>
      <c r="D27" s="63" t="s">
        <v>449</v>
      </c>
      <c r="E27" s="63" t="s">
        <v>450</v>
      </c>
      <c r="F27" s="63" t="s">
        <v>451</v>
      </c>
    </row>
    <row r="30" customFormat="false" ht="15" hidden="false" customHeight="false" outlineLevel="0" collapsed="false">
      <c r="A30" s="56" t="s">
        <v>452</v>
      </c>
      <c r="B30" s="56"/>
      <c r="C30" s="56"/>
    </row>
    <row r="31" customFormat="false" ht="15" hidden="false" customHeight="false" outlineLevel="0" collapsed="false">
      <c r="A31" s="57" t="s">
        <v>453</v>
      </c>
      <c r="B31" s="46" t="n">
        <f aca="false">B4*B33</f>
        <v>1.6</v>
      </c>
      <c r="C31" s="64" t="s">
        <v>454</v>
      </c>
    </row>
    <row r="32" customFormat="false" ht="15" hidden="false" customHeight="false" outlineLevel="0" collapsed="false">
      <c r="A32" s="57" t="s">
        <v>455</v>
      </c>
      <c r="B32" s="62" t="n">
        <f aca="false">0.8/B4</f>
        <v>0.00597014925373134</v>
      </c>
      <c r="C32" s="64" t="s">
        <v>456</v>
      </c>
    </row>
    <row r="33" customFormat="false" ht="15" hidden="false" customHeight="false" outlineLevel="0" collapsed="false">
      <c r="A33" s="57" t="s">
        <v>457</v>
      </c>
      <c r="B33" s="62" t="n">
        <f aca="false">(0.8*B6)/B4</f>
        <v>0.0119402985074627</v>
      </c>
      <c r="C33" s="64" t="s">
        <v>458</v>
      </c>
    </row>
    <row r="34" customFormat="false" ht="15" hidden="false" customHeight="false" outlineLevel="0" collapsed="false">
      <c r="A34" s="57" t="s">
        <v>459</v>
      </c>
      <c r="B34" s="65" t="n">
        <v>0.01</v>
      </c>
      <c r="C34" s="64" t="s">
        <v>460</v>
      </c>
    </row>
    <row r="37" customFormat="false" ht="15" hidden="false" customHeight="false" outlineLevel="0" collapsed="false">
      <c r="A37" s="13" t="s">
        <v>461</v>
      </c>
      <c r="B37" s="13"/>
      <c r="C37" s="13"/>
      <c r="D37" s="13"/>
      <c r="E37" s="13"/>
      <c r="F37" s="13"/>
    </row>
    <row r="38" customFormat="false" ht="15" hidden="false" customHeight="false" outlineLevel="0" collapsed="false">
      <c r="A38" s="66" t="s">
        <v>462</v>
      </c>
      <c r="B38" s="66" t="s">
        <v>463</v>
      </c>
    </row>
    <row r="39" customFormat="false" ht="15" hidden="false" customHeight="false" outlineLevel="0" collapsed="false">
      <c r="A39" s="15" t="s">
        <v>464</v>
      </c>
      <c r="B39" s="67" t="n">
        <f aca="false">B13</f>
        <v>0</v>
      </c>
    </row>
    <row r="40" customFormat="false" ht="15" hidden="false" customHeight="false" outlineLevel="0" collapsed="false">
      <c r="A40" s="15" t="s">
        <v>425</v>
      </c>
      <c r="B40" s="67" t="n">
        <f aca="false">B16</f>
        <v>0</v>
      </c>
    </row>
    <row r="41" customFormat="false" ht="15" hidden="false" customHeight="false" outlineLevel="0" collapsed="false">
      <c r="A41" s="15" t="s">
        <v>426</v>
      </c>
      <c r="B41" s="67" t="n">
        <f aca="false">B17</f>
        <v>0</v>
      </c>
    </row>
  </sheetData>
  <mergeCells count="6">
    <mergeCell ref="A1:F1"/>
    <mergeCell ref="A3:B3"/>
    <mergeCell ref="A12:B12"/>
    <mergeCell ref="A23:F23"/>
    <mergeCell ref="A30:C30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2026-07-11T19:32:17Z</dcterms:created>
  <dc:creator>openpyxl</dc:creator>
  <dc:description/>
  <dc:language>en-US</dc:language>
  <cp:lastModifiedBy/>
  <dcterms:modified xsi:type="dcterms:W3CDTF">2026-07-11T19:35:32Z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