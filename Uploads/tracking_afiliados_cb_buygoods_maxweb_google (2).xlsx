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firstSheet="1" activeTab="7"/>
  </bookViews>
  <sheets>
    <sheet r:id="rId1" name="Instrucoes" sheetId="1"/>
    <sheet r:id="rId2" name="Dashboard" sheetId="2"/>
    <sheet r:id="rId3" name="Diario" sheetId="3"/>
    <sheet r:id="rId4" name="Ofertas" sheetId="4"/>
    <sheet r:id="rId5" name="Campanhas_Google" sheetId="5"/>
    <sheet r:id="rId6" name="Testes_KillScale" sheetId="6"/>
    <sheet r:id="rId7" name="MaxWeb_Postback" sheetId="7"/>
    <sheet r:id="rId8" name="BreakEven" sheetId="8"/>
  </sheets>
  <definedNames>
    <definedName name="_xlnm._FilterDatabase" localSheetId="2" isReadOnly="false">Diario!$A$1:$W$50</definedName>
    <definedName name="_xlnm._FilterDatabase" localSheetId="3" isReadOnly="false">Ofertas!$A$1:$S$30</definedName>
  </definedNames>
  <calcPr calcId="0" iterateCount="100" iterateDelta="0.001"/>
</workbook>
</file>

<file path=xl/sharedStrings.xml><?xml version="1.0" encoding="utf-8"?>
<sst xmlns="http://schemas.openxmlformats.org/spreadsheetml/2006/main" count="294" uniqueCount="294">
  <si>
    <t>PLANILHA DE TRACKING — Afiliados (ClickBank · BuyGoods · MaxWeb · Google Ads · BR)</t>
  </si>
  <si>
    <t>Abas</t>
  </si>
  <si>
    <t>Para que serve</t>
  </si>
  <si>
    <t>Instrucoes</t>
  </si>
  <si>
    <t>Este guia</t>
  </si>
  <si>
    <t>Dashboard</t>
  </si>
  <si>
    <t>KPIs e resumo por rede e por canal Google (lê a aba Diario)</t>
  </si>
  <si>
    <t>Diario</t>
  </si>
  <si>
    <t>LANÇAMENTO DIÁRIO — 1 linha por dia/campanha. Principal aba de preenchimento</t>
  </si>
  <si>
    <t>Ofertas</t>
  </si>
  <si>
    <t>Cadastro de ofertas por rede (payout, terms, links, status)</t>
  </si>
  <si>
    <t>Campanhas_Google</t>
  </si>
  <si>
    <t>Cadastro de campanhas (naming, UTM, conversão, budget)</t>
  </si>
  <si>
    <t>Testes_KillScale</t>
  </si>
  <si>
    <t>Hipóteses de teste e decisão SCALE / OTIMIZAR / KILL</t>
  </si>
  <si>
    <t>MaxWeb_Postback</t>
  </si>
  <si>
    <t>Checklist de tracking MaxWeb + log de conversões</t>
  </si>
  <si>
    <t>BreakEven</t>
  </si>
  <si>
    <t>Calculadora de CPC máximo e alvo de escala</t>
  </si>
  <si>
    <t>Fluxo recomendado</t>
  </si>
  <si>
    <t>1. Cadastre a oferta em Ofertas (rede, payout, geo, se Google permite, link).</t>
  </si>
  <si>
    <t>2. Crie a campanha em Campanhas_Google com Campanha_ID padronizado e UTM igual ao ID.</t>
  </si>
  <si>
    <t>3. Calcule break-even na aba BreakEven (comissão, refund, CVR esperada).</t>
  </si>
  <si>
    <t>4. Se MaxWeb: complete MaxWeb_Postback antes de gastar.</t>
  </si>
  <si>
    <t>5. Rode o teste e registre hipótese em Testes_KillScale.</t>
  </si>
  <si>
    <t>6. Todo dia: preencha Diario (cliques, CPC, conversões, receita, refunds).</t>
  </si>
  <si>
    <t>7. Use Dashboard para ver lucro por rede/canal e decida SCALE / OTIMIZAR / KILL.</t>
  </si>
  <si>
    <t>8. Moeda: use a mesma moeda em Gasto e Receita (ou converta USD→BRL na Receita).</t>
  </si>
  <si>
    <t>Naming sugerido Campanha_ID</t>
  </si>
  <si>
    <t>[REDE]_[VERTICAL]_[GEO]_[CANAL]_[FUNIL]_vN   |   Ex: CB_WL_US_SEARCH_BRIDGE_v1 · MW_NUTRA_BR_YT_SL_v1</t>
  </si>
  <si>
    <t>Regra SCALE</t>
  </si>
  <si>
    <t>EPC &gt;= 1.3 × CPC  OU  eCPA &lt; payout líquido com margem — após volume mínimo de cliques</t>
  </si>
  <si>
    <t>Regra KILL</t>
  </si>
  <si>
    <t>Sem conversão com gasto &gt;= orçamento de teste, ou EPC bem abaixo do CPC sem tendência</t>
  </si>
  <si>
    <t>Regra OTIMIZAR</t>
  </si>
  <si>
    <t>Perto do BE: trocar ângulo, negativas, bridge, criativo ou match de keyword</t>
  </si>
  <si>
    <t>TRACKING AFILIADOS — Dashboard</t>
  </si>
  <si>
    <t>Atualizado: 2026-07-15 | Redes: ClickBank · BuyGoods · MaxWeb · Hotmart/Eduzz/Monetizze · Google Ads</t>
  </si>
  <si>
    <t>Gasto Total (período)</t>
  </si>
  <si>
    <t>Receita / Comissões</t>
  </si>
  <si>
    <t>Lucro Líquido</t>
  </si>
  <si>
    <t>ROAS</t>
  </si>
  <si>
    <t>EPC Médio</t>
  </si>
  <si>
    <t>eCPA Médio</t>
  </si>
  <si>
    <t>Cliques</t>
  </si>
  <si>
    <t>Vendas / Leads</t>
  </si>
  <si>
    <t>CVR %</t>
  </si>
  <si>
    <t>Filtro período (data início)</t>
  </si>
  <si>
    <t>Data início →</t>
  </si>
  <si>
    <t>(altere B12 para filtrar o dashboard)</t>
  </si>
  <si>
    <t>RESUMO POR REDE</t>
  </si>
  <si>
    <t>Rede</t>
  </si>
  <si>
    <t>Gasto</t>
  </si>
  <si>
    <t>Receita</t>
  </si>
  <si>
    <t>Lucro</t>
  </si>
  <si>
    <t>Conv.</t>
  </si>
  <si>
    <t>ClickBank</t>
  </si>
  <si>
    <t>BuyGoods</t>
  </si>
  <si>
    <t>MaxWeb</t>
  </si>
  <si>
    <t>Hotmart</t>
  </si>
  <si>
    <t>Eduzz</t>
  </si>
  <si>
    <t>Monetizze</t>
  </si>
  <si>
    <t>RESUMO POR CANAL GOOGLE ADS</t>
  </si>
  <si>
    <t>Canal Google</t>
  </si>
  <si>
    <t>Search</t>
  </si>
  <si>
    <t>YouTube</t>
  </si>
  <si>
    <t>Demand Gen</t>
  </si>
  <si>
    <t>PMax</t>
  </si>
  <si>
    <t>Display</t>
  </si>
  <si>
    <t>Outro</t>
  </si>
  <si>
    <t>LEGENDA DECISÃO</t>
  </si>
  <si>
    <t>SCALE</t>
  </si>
  <si>
    <t>EPC &gt;= 1.3x CPC (ou eCPA &lt; payout com margem) + volume mínimo</t>
  </si>
  <si>
    <t>OTIMIZAR</t>
  </si>
  <si>
    <t>Perto do break-even; ajustar criativo/keyword/bridge</t>
  </si>
  <si>
    <t>KILL</t>
  </si>
  <si>
    <t>Abaixo do break-even sem tendência após teste mínimo</t>
  </si>
  <si>
    <t>Como usar: preencha a aba Diario (1 linha por dia/campanha). Ofertas e Campanhas_Google são cadastros. Testes registra kill/scale. MaxWeb_Postback valida tracking.</t>
  </si>
  <si>
    <t>Data</t>
  </si>
  <si>
    <t>Campanha_ID</t>
  </si>
  <si>
    <t>Oferta</t>
  </si>
  <si>
    <t>Vertical</t>
  </si>
  <si>
    <t>Geo</t>
  </si>
  <si>
    <t>Canal_Google</t>
  </si>
  <si>
    <t>Funil</t>
  </si>
  <si>
    <t>Impressoes</t>
  </si>
  <si>
    <t>CPC</t>
  </si>
  <si>
    <t>Conversoes</t>
  </si>
  <si>
    <t>Receita_Comissao</t>
  </si>
  <si>
    <t>Refunds_Clawback</t>
  </si>
  <si>
    <t>Receita_Liquida</t>
  </si>
  <si>
    <t>EPC</t>
  </si>
  <si>
    <t>CVR</t>
  </si>
  <si>
    <t>eCPA</t>
  </si>
  <si>
    <t>Decisao</t>
  </si>
  <si>
    <t>Notas</t>
  </si>
  <si>
    <t>CB_WL_US_SEARCH_BRIDGE_v1</t>
  </si>
  <si>
    <t>Offer Alpha WL</t>
  </si>
  <si>
    <t>Weight Loss</t>
  </si>
  <si>
    <t>US</t>
  </si>
  <si>
    <t>Bridge</t>
  </si>
  <si>
    <t>Bom QS</t>
  </si>
  <si>
    <t>MW_NUTRA_BR_YT_SL_v1</t>
  </si>
  <si>
    <t>Smartlink Nutra</t>
  </si>
  <si>
    <t>Nutra</t>
  </si>
  <si>
    <t>BR</t>
  </si>
  <si>
    <t>Smartlink</t>
  </si>
  <si>
    <t>Testar hook 2</t>
  </si>
  <si>
    <t>BG_BEAUTY_US_DGEN_v1</t>
  </si>
  <si>
    <t>Serum X</t>
  </si>
  <si>
    <t>Beauty</t>
  </si>
  <si>
    <t>CVR baixa</t>
  </si>
  <si>
    <t>CB_MM_US_SEARCH_v2</t>
  </si>
  <si>
    <t>Offer Beta MMO</t>
  </si>
  <si>
    <t>Make Money</t>
  </si>
  <si>
    <t>CPC alto zero sale</t>
  </si>
  <si>
    <t>HT_CURSO_BR_SEARCH_v1</t>
  </si>
  <si>
    <t>Curso Y</t>
  </si>
  <si>
    <t>Educacao</t>
  </si>
  <si>
    <t>Direct</t>
  </si>
  <si>
    <t>Lançamento D2</t>
  </si>
  <si>
    <t/>
  </si>
  <si>
    <t>Valores Rede: ClickBank | BuyGoods | MaxWeb | Hotmart | Eduzz | Monetizze</t>
  </si>
  <si>
    <t>Canal_Google: Search | YouTube | Demand Gen | PMax | Display | Outro</t>
  </si>
  <si>
    <t>Funil: Direct | Bridge | Smartlink | Review | Lancamento</t>
  </si>
  <si>
    <t>Decisao: SCALE | OTIMIZAR | KILL | TESTE</t>
  </si>
  <si>
    <t>Preencha: Data, Campanha_ID, Rede, Oferta, Vertical, Geo, Canal, Funil, Impressoes, Cliques, CPC, Conversoes, Receita, Refunds, Decisao, Notas. O resto calcula sozinho.</t>
  </si>
  <si>
    <t>Oferta_ID</t>
  </si>
  <si>
    <t>Nome_Oferta</t>
  </si>
  <si>
    <t>Geo_Permitidos</t>
  </si>
  <si>
    <t>Payout_Comissao</t>
  </si>
  <si>
    <t>Modelo</t>
  </si>
  <si>
    <t>Gravity_EPC_Ref</t>
  </si>
  <si>
    <t>Upsells</t>
  </si>
  <si>
    <t>Trademark_Bidding</t>
  </si>
  <si>
    <t>Google_Permitido</t>
  </si>
  <si>
    <t>Funil_Recomendado</t>
  </si>
  <si>
    <t>Vendor_Terms_OK</t>
  </si>
  <si>
    <t>Link_Hop_Smartlink</t>
  </si>
  <si>
    <t>BreakEven_CPC</t>
  </si>
  <si>
    <t>Status</t>
  </si>
  <si>
    <t>Data_Inicio_Teste</t>
  </si>
  <si>
    <t>Resultado</t>
  </si>
  <si>
    <t>CB-001</t>
  </si>
  <si>
    <t>US,CA,AU</t>
  </si>
  <si>
    <t>US$60 avg</t>
  </si>
  <si>
    <t>CPA % + upsell</t>
  </si>
  <si>
    <t>Gravity 80 / EPC $1.2</t>
  </si>
  <si>
    <t>Sim</t>
  </si>
  <si>
    <t>Proibido</t>
  </si>
  <si>
    <t>Search,YT com bridge</t>
  </si>
  <si>
    <t>https://hop.link/exemplo</t>
  </si>
  <si>
    <t>Ativa</t>
  </si>
  <si>
    <t>Melhor EPC Search</t>
  </si>
  <si>
    <t>BG-001</t>
  </si>
  <si>
    <t>US,UK</t>
  </si>
  <si>
    <t>US$55</t>
  </si>
  <si>
    <t>CPA</t>
  </si>
  <si>
    <t>—</t>
  </si>
  <si>
    <t>Demand Gen,YT</t>
  </si>
  <si>
    <t>https://buygoods.exemplo</t>
  </si>
  <si>
    <t>Teste</t>
  </si>
  <si>
    <t>Precisa criativo UGC</t>
  </si>
  <si>
    <t>MW-001</t>
  </si>
  <si>
    <t>Smartlink Nutra BR</t>
  </si>
  <si>
    <t>R$8 CPL</t>
  </si>
  <si>
    <t>CPL</t>
  </si>
  <si>
    <t>N/A</t>
  </si>
  <si>
    <t>YT,Search</t>
  </si>
  <si>
    <t>https://maxweb.exemplo/sl</t>
  </si>
  <si>
    <t>Postback OK</t>
  </si>
  <si>
    <t>HT-001</t>
  </si>
  <si>
    <t>R$80 (50%)</t>
  </si>
  <si>
    <t>% comissao</t>
  </si>
  <si>
    <t>Bump</t>
  </si>
  <si>
    <t>Ver produtor</t>
  </si>
  <si>
    <t>Direct/Lancamento</t>
  </si>
  <si>
    <t>https://hotmart.exemplo</t>
  </si>
  <si>
    <t>Carrinho aberto</t>
  </si>
  <si>
    <t>Nome_Google</t>
  </si>
  <si>
    <t>Tipo</t>
  </si>
  <si>
    <t>Rede_Afiliado</t>
  </si>
  <si>
    <t>Orcamento_Dia</t>
  </si>
  <si>
    <t>Estrategia_Lance</t>
  </si>
  <si>
    <t>Conversao_Config</t>
  </si>
  <si>
    <t>Valor_Conv_Estimado</t>
  </si>
  <si>
    <t>UTM_Campaign</t>
  </si>
  <si>
    <t>URL_Final_Bridge</t>
  </si>
  <si>
    <t>QS_Notas</t>
  </si>
  <si>
    <t>Negativas_OK</t>
  </si>
  <si>
    <t>Data_Criacao</t>
  </si>
  <si>
    <t>CB | WL | US | Search | Bridge</t>
  </si>
  <si>
    <t>Maximizar conversões</t>
  </si>
  <si>
    <t>Compra (valor comissão)</t>
  </si>
  <si>
    <t>cb_wl_us_search_v1</t>
  </si>
  <si>
    <t>https://seusite.com/review-alpha</t>
  </si>
  <si>
    <t>QS 7+</t>
  </si>
  <si>
    <t>Exact + phrase</t>
  </si>
  <si>
    <t>MW | Nutra | BR | YT | SL</t>
  </si>
  <si>
    <t>CPV / Max conv</t>
  </si>
  <si>
    <t>Lead postback</t>
  </si>
  <si>
    <t>mw_nutra_br_yt_v1</t>
  </si>
  <si>
    <t>https://smartlink.maxweb/xxx</t>
  </si>
  <si>
    <t>3 criativos</t>
  </si>
  <si>
    <t>BG | Beauty | US | DGen</t>
  </si>
  <si>
    <t>Max conversões</t>
  </si>
  <si>
    <t>Compra</t>
  </si>
  <si>
    <t>bg_beauty_us_dgen_v1</t>
  </si>
  <si>
    <t>https://seusite.com/serum-x</t>
  </si>
  <si>
    <t>Pausada</t>
  </si>
  <si>
    <t>Aguardando UGC</t>
  </si>
  <si>
    <t>Teste_ID</t>
  </si>
  <si>
    <t>Data_Inicio</t>
  </si>
  <si>
    <t>Data_Fim</t>
  </si>
  <si>
    <t>Hipotese_Angulo</t>
  </si>
  <si>
    <t>Orcamento_Teste</t>
  </si>
  <si>
    <t>Cliques_Minimos</t>
  </si>
  <si>
    <t>Gasto_Real</t>
  </si>
  <si>
    <t>Conv</t>
  </si>
  <si>
    <t>CPC_Medio</t>
  </si>
  <si>
    <t>Proximo_Passo</t>
  </si>
  <si>
    <t>Aprendizado</t>
  </si>
  <si>
    <t>T-001</t>
  </si>
  <si>
    <t>Dor: 'não consigo emagrecer depois dos 40'</t>
  </si>
  <si>
    <t>Subir budget 25%</t>
  </si>
  <si>
    <t>Hook idade converte</t>
  </si>
  <si>
    <t>T-002</t>
  </si>
  <si>
    <t>Promessa renda extra home office</t>
  </si>
  <si>
    <t>Pausar oferta</t>
  </si>
  <si>
    <t>CPC Search MMO inviável neste geo</t>
  </si>
  <si>
    <t>T-003</t>
  </si>
  <si>
    <t>UGC depoimento 15s</t>
  </si>
  <si>
    <t>Trocar 2 criativos</t>
  </si>
  <si>
    <t>eCPA perto do payout</t>
  </si>
  <si>
    <t>Regra prática: SCALE se EPC &gt;= 1.3 × CPC (ou eCPA &lt; payout com margem) após cliques mínimos. KILL se sem conversão e gasto &gt;= orçamento teste. OTIMIZAR se no meio.</t>
  </si>
  <si>
    <t>MAXWEB — Checklist de Tracking / Postback</t>
  </si>
  <si>
    <t>Item</t>
  </si>
  <si>
    <t>Valor / URL / Nota</t>
  </si>
  <si>
    <t>OK?</t>
  </si>
  <si>
    <t>Conta MaxWeb ativa</t>
  </si>
  <si>
    <t>Pendente</t>
  </si>
  <si>
    <t>login / manager</t>
  </si>
  <si>
    <t>Offer ou Smartlink escolhido</t>
  </si>
  <si>
    <t>ID da offer</t>
  </si>
  <si>
    <t>Tracking template / token clickid</t>
  </si>
  <si>
    <t>ex: {clickid} ou subid</t>
  </si>
  <si>
    <t>URL de postback configurada</t>
  </si>
  <si>
    <t>https://sua-rede-ou-tracker/...</t>
  </si>
  <si>
    <t>Parametros payout / event</t>
  </si>
  <si>
    <t>lead, sale, revshare</t>
  </si>
  <si>
    <t>Teste de conversão manual</t>
  </si>
  <si>
    <t>1 lead/sale teste</t>
  </si>
  <si>
    <t>Match rate Google vs MaxWeb</t>
  </si>
  <si>
    <t>meta &gt; 85%</t>
  </si>
  <si>
    <t>Pixel Google Ads / GTM</t>
  </si>
  <si>
    <t>conversion action</t>
  </si>
  <si>
    <t>UTMs padronizados</t>
  </si>
  <si>
    <t>utm_campaign = Campanha_ID</t>
  </si>
  <si>
    <t>Held / Rejected monitorado</t>
  </si>
  <si>
    <t>revisar 1x/semana</t>
  </si>
  <si>
    <t>eCPA vs Payout documentado</t>
  </si>
  <si>
    <t>aba Diario</t>
  </si>
  <si>
    <t>Geo e device alinhados à offer</t>
  </si>
  <si>
    <t>sem tráfego inválido</t>
  </si>
  <si>
    <t>LOG DE CONVERSÕES (cole do painel ou tracker)</t>
  </si>
  <si>
    <t>Data_Hora</t>
  </si>
  <si>
    <t>ClickID</t>
  </si>
  <si>
    <t>Offer</t>
  </si>
  <si>
    <t>Evento</t>
  </si>
  <si>
    <t>Payout</t>
  </si>
  <si>
    <t>Campanha_Google</t>
  </si>
  <si>
    <t>Obs</t>
  </si>
  <si>
    <t>Fórmula mental: Lucro MaxWeb ≈ Soma(Payout aprovado) − Gasto Google − Clawbacks. Não escale com held alto.</t>
  </si>
  <si>
    <t xml:space="preserve">quero crieaEu quero criar um grande repositório aí, um checklist para que eu nunca erre nas campanhas de ads do Clickbank nos Estados Unidos. Eu quero o checklist de tudo que eu tenho que fazer para fazer tudo certo sem tomar strike na conta de afiliado. Criando a página de pré-venda do modo mais otimizado e mais perfeito possível. Utilizando as ferramentas de AI que possam ser úteis ou gratuitas ou até APIs de AI que eu possa criar para criar esse fluxo e os loops necessários. Para eu poder executar esse checklist para uma campanha que eu já tenho aprovada. Onde eu agora estou na fase de criar para a página pré-venda já tenho todo o link do afiliado. Agora eu preciso ir para esse caminho. </t>
  </si>
  <si>
    <t>Entradas</t>
  </si>
  <si>
    <t>Comissão média por venda/lead</t>
  </si>
  <si>
    <t>← edite</t>
  </si>
  <si>
    <t>Refund / clawback estimado</t>
  </si>
  <si>
    <t>CVR (click → conversão)</t>
  </si>
  <si>
    <t>Fator margem (1.3 = SCALE threshold)</t>
  </si>
  <si>
    <t>Resultados</t>
  </si>
  <si>
    <t>Comissão líquida (após refund)</t>
  </si>
  <si>
    <t>EPC break-even (comissao_liq × CVR)</t>
  </si>
  <si>
    <t>CPC máximo break-even</t>
  </si>
  <si>
    <t>CPC deve ser &lt; este valor para não perder</t>
  </si>
  <si>
    <t>CPC alvo para SCALE (BE / margem)</t>
  </si>
  <si>
    <t>Meta prática de CPC para escalar</t>
  </si>
  <si>
    <t>eCPA máximo (≈ comissão líquida)</t>
  </si>
  <si>
    <t>Para MaxWeb CPL/CPA: eCPA &lt; payout líquido</t>
  </si>
  <si>
    <t>Exemplo rápido</t>
  </si>
  <si>
    <t>Se comissão R$60, refund 10%, CVR 2% → comissão líq R$54 → EPC BE R$1,08 → CPC SCALE alvo ≈ R$0,83 com margem 1.3</t>
  </si>
  <si>
    <t>Tabela de sensibilidade CVR × CPC máx (comissão e refund das células B4/B5)</t>
  </si>
  <si>
    <t>CPC máx BE</t>
  </si>
  <si>
    <t>CPC alvo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</si>
</sst>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1" formatCode="R$ #,##0.00"/>
    <numFmt numFmtId="172" formatCode="YYYY-MM-DD"/>
    <numFmt numFmtId="176" formatCode="0.0%"/>
    <numFmt numFmtId="178" formatCode="R$ #,##0.000"/>
  </numFmts>
  <fonts count="16">
    <font>
      <b val="0"/>
      <i val="0"/>
      <sz val="11"/>
      <color theme="1"/>
      <name val="Calibri"/>
      <scheme val="minor"/>
    </font>
    <font>
      <b/>
      <i val="0"/>
      <sz val="16"/>
      <color rgb="FF1F4E79"/>
      <name val="Calibri"/>
    </font>
    <font>
      <b/>
      <i val="0"/>
      <sz val="11"/>
      <color rgb="FFFFFFFF"/>
      <name val="Calibri"/>
    </font>
    <font>
      <b/>
      <i val="0"/>
      <color auto="1"/>
      <name val="Calibri"/>
    </font>
    <font>
      <b/>
      <i val="0"/>
      <sz val="12"/>
      <color rgb="FF1F4E79"/>
      <name val="Calibri"/>
    </font>
    <font>
      <b val="0"/>
      <i/>
      <sz val="10"/>
      <color rgb="FF666666"/>
      <name val="Calibri"/>
    </font>
    <font>
      <b/>
      <i val="0"/>
      <sz val="9"/>
      <color auto="1"/>
      <name val="Calibri"/>
    </font>
    <font>
      <b/>
      <i val="0"/>
      <sz val="14"/>
      <color rgb="FF1F4E79"/>
      <name val="Calibri"/>
    </font>
    <font>
      <b val="0"/>
      <i/>
      <sz val="9"/>
      <color rgb="FF888888"/>
      <name val="Calibri"/>
    </font>
    <font>
      <b val="0"/>
      <i/>
      <sz val="9"/>
      <color rgb="FF555555"/>
      <name val="Calibri"/>
    </font>
    <font>
      <b val="0"/>
      <i/>
      <sz val="9"/>
      <color rgb="FF666666"/>
      <name val="Calibri"/>
    </font>
    <font>
      <b/>
      <i val="0"/>
      <sz val="11"/>
      <color auto="1"/>
      <name val="Calibri"/>
    </font>
    <font>
      <b/>
      <sz val="11"/>
      <color rgb="FFFFFFFF"/>
      <name val="Calibri"/>
    </font>
    <font>
      <b/>
      <i val="0"/>
      <sz val="16"/>
      <color rgb="FF1F4E79"/>
      <name val="Calibri"/>
    </font>
    <font>
      <b/>
      <i val="0"/>
      <sz val="11"/>
      <color rgb="FFFFFFFF"/>
      <name val="Calibri"/>
    </font>
    <font>
      <b/>
      <i val="0"/>
      <sz val="14"/>
      <color rgb="FF1F4E7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6DCE4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2E5090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1"/>
  </cellStyleXfs>
  <cellXfs count="43">
    <xf numFmtId="0" fontId="0" fillId="0" borderId="1" xfId="0"/>
    <xf numFmtId="0" fontId="12" fillId="9" borderId="0" xfId="0">
      <alignment vertical="top"/>
    </xf>
    <xf numFmtId="0" fontId="13" fillId="9" borderId="1" xfId="0" quotePrefix="0"/>
    <xf numFmtId="0" fontId="2" fillId="2" borderId="2" xfId="0" quotePrefix="0">
      <alignment horizontal="center" vertical="center" wrapText="1"/>
    </xf>
    <xf numFmtId="0" fontId="3" fillId="0" borderId="2" xfId="0" quotePrefix="0"/>
    <xf numFmtId="0" fontId="0" fillId="0" borderId="2" xfId="0" quotePrefix="0"/>
    <xf numFmtId="0" fontId="4" fillId="0" borderId="1" xfId="0" quotePrefix="0"/>
    <xf numFmtId="0" fontId="3" fillId="0" borderId="1" xfId="0" quotePrefix="0"/>
    <xf numFmtId="0" fontId="0" fillId="3" borderId="1" xfId="0" quotePrefix="0"/>
    <xf numFmtId="0" fontId="0" fillId="4" borderId="1" xfId="0" quotePrefix="0"/>
    <xf numFmtId="0" fontId="0" fillId="5" borderId="1" xfId="0" quotePrefix="0"/>
    <xf numFmtId="0" fontId="5" fillId="0" borderId="1" xfId="0" quotePrefix="0"/>
    <xf numFmtId="0" fontId="6" fillId="6" borderId="2" xfId="0" quotePrefix="0"/>
    <xf numFmtId="171" fontId="7" fillId="7" borderId="2" xfId="0" quotePrefix="0"/>
    <xf numFmtId="2" fontId="7" fillId="7" borderId="2" xfId="0" quotePrefix="0"/>
    <xf numFmtId="0" fontId="7" fillId="7" borderId="2" xfId="0" quotePrefix="0"/>
    <xf numFmtId="10" fontId="7" fillId="7" borderId="2" xfId="0" quotePrefix="0"/>
    <xf numFmtId="172" fontId="0" fillId="5" borderId="1" xfId="0" quotePrefix="0"/>
    <xf numFmtId="0" fontId="8" fillId="0" borderId="1" xfId="0" quotePrefix="0"/>
    <xf numFmtId="171" fontId="0" fillId="0" borderId="2" xfId="0" quotePrefix="0"/>
    <xf numFmtId="2" fontId="0" fillId="0" borderId="2" xfId="0" quotePrefix="0"/>
    <xf numFmtId="0" fontId="9" fillId="0" borderId="1" xfId="0" quotePrefix="0"/>
    <xf numFmtId="0" fontId="14" fillId="2" borderId="2" xfId="0" quotePrefix="0">
      <alignment horizontal="center" vertical="center" wrapText="1"/>
    </xf>
    <xf numFmtId="172" fontId="0" fillId="0" borderId="2" xfId="0" quotePrefix="0"/>
    <xf numFmtId="1" fontId="0" fillId="0" borderId="2" xfId="0" quotePrefix="0"/>
    <xf numFmtId="10" fontId="0" fillId="0" borderId="2" xfId="0" quotePrefix="0"/>
    <xf numFmtId="0" fontId="0" fillId="3" borderId="2" xfId="0" quotePrefix="0"/>
    <xf numFmtId="0" fontId="0" fillId="5" borderId="2" xfId="0" quotePrefix="0"/>
    <xf numFmtId="0" fontId="0" fillId="4" borderId="2" xfId="0" quotePrefix="0"/>
    <xf numFmtId="0" fontId="10" fillId="0" borderId="1" xfId="0" quotePrefix="0"/>
    <xf numFmtId="0" fontId="15" fillId="9" borderId="1" xfId="0" quotePrefix="0"/>
    <xf numFmtId="0" fontId="0" fillId="8" borderId="2" xfId="0" quotePrefix="0"/>
    <xf numFmtId="0" fontId="3" fillId="6" borderId="1" xfId="0" quotePrefix="0"/>
    <xf numFmtId="171" fontId="0" fillId="5" borderId="2" xfId="0" quotePrefix="0"/>
    <xf numFmtId="176" fontId="0" fillId="5" borderId="2" xfId="0" quotePrefix="0"/>
    <xf numFmtId="10" fontId="0" fillId="5" borderId="2" xfId="0" quotePrefix="0"/>
    <xf numFmtId="2" fontId="0" fillId="5" borderId="2" xfId="0" quotePrefix="0"/>
    <xf numFmtId="0" fontId="3" fillId="6" borderId="2" xfId="0" quotePrefix="0"/>
    <xf numFmtId="171" fontId="0" fillId="7" borderId="2" xfId="0" quotePrefix="0"/>
    <xf numFmtId="178" fontId="0" fillId="7" borderId="2" xfId="0" quotePrefix="0"/>
    <xf numFmtId="178" fontId="0" fillId="3" borderId="2" xfId="0" quotePrefix="0"/>
    <xf numFmtId="0" fontId="11" fillId="0" borderId="1" xfId="0" quotePrefix="0"/>
    <xf numFmtId="178" fontId="0" fillId="0" borderId="2" xfId="0" quotePrefix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F144918-715F-B083-7598-0FB8CF7CFD18}" mc:Ignorable="x14ac xr xr2 xr3">
  <dimension ref="A1:AZ50"/>
  <sheetViews>
    <sheetView topLeftCell="A1" workbookViewId="0">
      <selection activeCell="A1" sqref="A1:B1"/>
    </sheetView>
  </sheetViews>
  <sheetFormatPr defaultRowHeight="15" defaultColWidth="9.140625" customHeight="1"/>
  <cols>
    <col min="1" max="1" width="32.140625" customWidth="1"/>
    <col min="2" max="2" width="71.421875" customWidth="1"/>
  </cols>
  <sheetData>
    <row r="1" ht="21.75" customHeight="1" s="1" customFormat="1">
      <c r="A1" s="2" t="s">
        <v>0</v>
      </c>
    </row>
    <row r="3" ht="15.75" customHeight="1">
      <c r="A3" s="3" t="s">
        <v>1</v>
      </c>
      <c r="B3" s="3" t="s">
        <v>2</v>
      </c>
    </row>
    <row r="4" ht="15.75" customHeight="1">
      <c r="A4" s="4" t="s">
        <v>3</v>
      </c>
      <c r="B4" s="5" t="s">
        <v>4</v>
      </c>
    </row>
    <row r="5" ht="15.75" customHeight="1">
      <c r="A5" s="4" t="s">
        <v>5</v>
      </c>
      <c r="B5" s="5" t="s">
        <v>6</v>
      </c>
    </row>
    <row r="6" ht="15.75" customHeight="1">
      <c r="A6" s="4" t="s">
        <v>7</v>
      </c>
      <c r="B6" s="5" t="s">
        <v>8</v>
      </c>
    </row>
    <row r="7" ht="15.75" customHeight="1">
      <c r="A7" s="4" t="s">
        <v>9</v>
      </c>
      <c r="B7" s="5" t="s">
        <v>10</v>
      </c>
    </row>
    <row r="8" ht="15.75" customHeight="1">
      <c r="A8" s="4" t="s">
        <v>11</v>
      </c>
      <c r="B8" s="5" t="s">
        <v>12</v>
      </c>
    </row>
    <row r="9" ht="15.75" customHeight="1">
      <c r="A9" s="4" t="s">
        <v>13</v>
      </c>
      <c r="B9" s="5" t="s">
        <v>14</v>
      </c>
    </row>
    <row r="10" ht="15.75" customHeight="1">
      <c r="A10" s="4" t="s">
        <v>15</v>
      </c>
      <c r="B10" s="5" t="s">
        <v>16</v>
      </c>
    </row>
    <row r="11" ht="15.75" customHeight="1">
      <c r="A11" s="4" t="s">
        <v>17</v>
      </c>
      <c r="B11" s="5" t="s">
        <v>18</v>
      </c>
    </row>
    <row r="14" ht="17.25" customHeight="1">
      <c r="A14" s="6" t="s">
        <v>19</v>
      </c>
    </row>
    <row r="15" ht="15.75" customHeight="1">
      <c r="A15" t="s">
        <v>20</v>
      </c>
    </row>
    <row r="16" ht="15.75" customHeight="1">
      <c r="A16" t="s">
        <v>21</v>
      </c>
    </row>
    <row r="17" ht="15.75" customHeight="1">
      <c r="A17" t="s">
        <v>22</v>
      </c>
    </row>
    <row r="18" ht="15.75" customHeight="1">
      <c r="A18" t="s">
        <v>23</v>
      </c>
    </row>
    <row r="19" ht="15.75" customHeight="1">
      <c r="A19" t="s">
        <v>24</v>
      </c>
    </row>
    <row r="20" ht="15.75" customHeight="1">
      <c r="A20" t="s">
        <v>25</v>
      </c>
    </row>
    <row r="21" ht="15.75" customHeight="1">
      <c r="A21" t="s">
        <v>26</v>
      </c>
    </row>
    <row r="22" ht="15.75" customHeight="1">
      <c r="A22" t="s">
        <v>27</v>
      </c>
    </row>
    <row r="24" ht="15.75" customHeight="1">
      <c r="A24" s="7" t="s">
        <v>28</v>
      </c>
    </row>
    <row r="25" ht="29.25" customHeight="1">
      <c r="A25" t="s">
        <v>29</v>
      </c>
    </row>
    <row r="27" ht="29.25" customHeight="1">
      <c r="A27" s="8" t="s">
        <v>30</v>
      </c>
      <c r="B27" t="s">
        <v>31</v>
      </c>
    </row>
    <row r="28" ht="29.25" customHeight="1">
      <c r="A28" s="9" t="s">
        <v>32</v>
      </c>
      <c r="B28" t="s">
        <v>33</v>
      </c>
    </row>
    <row r="29" ht="15.75" customHeight="1">
      <c r="A29" s="10" t="s">
        <v>34</v>
      </c>
      <c r="B29" t="s">
        <v>35</v>
      </c>
    </row>
  </sheetData>
  <sheetProtection autoFilter="1" sort="1"/>
  <mergeCells>
    <mergeCell ref="A20:B20"/>
    <mergeCell ref="A21:B21"/>
    <mergeCell ref="A16:B16"/>
    <mergeCell ref="A15:B15"/>
    <mergeCell ref="A25:B25"/>
    <mergeCell ref="A19:B19"/>
    <mergeCell ref="A1:B1"/>
    <mergeCell ref="A17:B17"/>
    <mergeCell ref="A18:B18"/>
    <mergeCell ref="A22:B22"/>
  </mergeCells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CFB9558-6A48-E385-CC14-64E2DC835798}" mc:Ignorable="x14ac xr xr2 xr3">
  <dimension ref="A1:AZ50"/>
  <sheetViews>
    <sheetView topLeftCell="A1" workbookViewId="0">
      <selection activeCell="A1" sqref="A1"/>
    </sheetView>
  </sheetViews>
  <sheetFormatPr defaultRowHeight="15" defaultColWidth="9.140625" customHeight="1"/>
  <cols>
    <col min="1" max="1" width="40.57421875" customWidth="1"/>
    <col min="2" max="2" width="65.57421875" customWidth="1"/>
    <col min="3" max="3" width="27.421875" customWidth="1"/>
    <col min="4" max="4" width="12.8515625" customWidth="1"/>
    <col min="5" max="5" width="11.7109375" customWidth="1"/>
    <col min="6" max="6" width="12.8515625" customWidth="1"/>
    <col min="7" max="7" width="6.421875" customWidth="1"/>
  </cols>
  <sheetData>
    <row r="1" ht="21.75" customHeight="1" s="1" customFormat="1">
      <c r="A1" s="2" t="s">
        <v>36</v>
      </c>
    </row>
    <row r="2" ht="15" customHeight="1">
      <c r="A2" s="11" t="s">
        <v>37</v>
      </c>
    </row>
    <row r="4" ht="19.5" customHeight="1">
      <c r="A4" s="12" t="s">
        <v>38</v>
      </c>
      <c r="B4" s="13">
        <f>SUMIF(Diario!A:A,"&gt;="&amp;B12,Diario!L:L)</f>
        <v>446.5</v>
      </c>
      <c r="C4" s="12" t="s">
        <v>39</v>
      </c>
      <c r="D4" s="13">
        <f>SUMIF(Diario!A:A,"&gt;="&amp;B12,Diario!N:N)</f>
        <v>706</v>
      </c>
      <c r="E4" s="12" t="s">
        <v>40</v>
      </c>
      <c r="F4" s="13">
        <f>D4-B4</f>
        <v>259.5</v>
      </c>
    </row>
    <row r="6" ht="19.5" customHeight="1">
      <c r="A6" s="12" t="s">
        <v>41</v>
      </c>
      <c r="B6" s="14">
        <f>IF(B4=0,0,D4/B4)</f>
        <v>1.58118701007839</v>
      </c>
      <c r="C6" s="12" t="s">
        <v>42</v>
      </c>
      <c r="D6" s="13">
        <f>IF(B8=0,0,D4/B8)</f>
        <v>1.30740740740741</v>
      </c>
      <c r="E6" s="12" t="s">
        <v>43</v>
      </c>
      <c r="F6" s="13">
        <f>IF(D8=0,0,B4/D8)</f>
        <v>21.2619047619048</v>
      </c>
    </row>
    <row r="8" ht="19.5" customHeight="1">
      <c r="A8" s="12" t="s">
        <v>44</v>
      </c>
      <c r="B8" s="15">
        <f>SUMIF(Diario!A:A,"&gt;="&amp;B12,Diario!J:J)</f>
        <v>540</v>
      </c>
      <c r="C8" s="12" t="s">
        <v>45</v>
      </c>
      <c r="D8" s="15">
        <f>SUMIF(Diario!A:A,"&gt;="&amp;B12,Diario!M:M)</f>
        <v>21</v>
      </c>
      <c r="E8" s="12" t="s">
        <v>46</v>
      </c>
      <c r="F8" s="16">
        <f>IF(B8=0,0,D8/B8)</f>
        <v>0.0388888888888889</v>
      </c>
    </row>
    <row r="11" ht="15.75" customHeight="1">
      <c r="A11" s="7" t="s">
        <v>47</v>
      </c>
    </row>
    <row r="12" ht="15.75" customHeight="1">
      <c r="A12" t="s">
        <v>48</v>
      </c>
      <c r="B12" s="17">
        <v>46204</v>
      </c>
      <c r="C12" s="18" t="s">
        <v>49</v>
      </c>
    </row>
    <row r="14" ht="17.25" customHeight="1">
      <c r="A14" s="6" t="s">
        <v>50</v>
      </c>
    </row>
    <row r="15" ht="15.75" customHeight="1">
      <c r="A15" s="3" t="s">
        <v>51</v>
      </c>
      <c r="B15" s="3" t="s">
        <v>52</v>
      </c>
      <c r="C15" s="3" t="s">
        <v>53</v>
      </c>
      <c r="D15" s="3" t="s">
        <v>54</v>
      </c>
      <c r="E15" s="3" t="s">
        <v>44</v>
      </c>
      <c r="F15" s="3" t="s">
        <v>55</v>
      </c>
      <c r="G15" s="3" t="s">
        <v>41</v>
      </c>
    </row>
    <row r="16" ht="15.75" customHeight="1">
      <c r="A16" s="5" t="s">
        <v>56</v>
      </c>
      <c r="B16" s="19">
        <f>SUMIF(Diario!C:C,A16,Diario!L:L)</f>
        <v>186</v>
      </c>
      <c r="C16" s="19">
        <f>SUMIF(Diario!C:C,A16,Diario!N:N)</f>
        <v>180</v>
      </c>
      <c r="D16" s="19">
        <f t="shared" si="0" ref="D16:D31">C16-B16</f>
        <v>-6</v>
      </c>
      <c r="E16" s="5">
        <f>SUMIF(Diario!C:C,A16,Diario!J:J)</f>
        <v>125</v>
      </c>
      <c r="F16" s="5">
        <f>SUMIF(Diario!C:C,A16,Diario!M:M)</f>
        <v>3</v>
      </c>
      <c r="G16" s="20">
        <f t="shared" si="1" ref="G16:G31">IF(B16=0,0,C16/B16)</f>
        <v>0.967741935483871</v>
      </c>
    </row>
    <row r="17" ht="15.75" customHeight="1">
      <c r="A17" s="5" t="s">
        <v>57</v>
      </c>
      <c r="B17" s="19">
        <f>SUMIF(Diario!C:C,A17,Diario!L:L)</f>
        <v>112</v>
      </c>
      <c r="C17" s="19">
        <f>SUMIF(Diario!C:C,A17,Diario!N:N)</f>
        <v>110</v>
      </c>
      <c r="D17" s="19">
        <f t="shared" si="0"/>
        <v>-2</v>
      </c>
      <c r="E17" s="5">
        <f>SUMIF(Diario!C:C,A17,Diario!J:J)</f>
        <v>140</v>
      </c>
      <c r="F17" s="5">
        <f>SUMIF(Diario!C:C,A17,Diario!M:M)</f>
        <v>2</v>
      </c>
      <c r="G17" s="20">
        <f t="shared" si="1"/>
        <v>0.982142857142857</v>
      </c>
    </row>
    <row r="18" ht="15.75" customHeight="1">
      <c r="A18" s="5" t="s">
        <v>58</v>
      </c>
      <c r="B18" s="19">
        <f>SUMIF(Diario!C:C,A18,Diario!L:L)</f>
        <v>99</v>
      </c>
      <c r="C18" s="19">
        <f>SUMIF(Diario!C:C,A18,Diario!N:N)</f>
        <v>96</v>
      </c>
      <c r="D18" s="19">
        <f t="shared" si="0"/>
        <v>-3</v>
      </c>
      <c r="E18" s="5">
        <f>SUMIF(Diario!C:C,A18,Diario!J:J)</f>
        <v>220</v>
      </c>
      <c r="F18" s="5">
        <f>SUMIF(Diario!C:C,A18,Diario!M:M)</f>
        <v>12</v>
      </c>
      <c r="G18" s="20">
        <f t="shared" si="1"/>
        <v>0.96969696969697</v>
      </c>
    </row>
    <row r="19" ht="15.75" customHeight="1">
      <c r="A19" s="5" t="s">
        <v>59</v>
      </c>
      <c r="B19" s="19">
        <f>SUMIF(Diario!C:C,A19,Diario!L:L)</f>
        <v>49.5</v>
      </c>
      <c r="C19" s="19">
        <f>SUMIF(Diario!C:C,A19,Diario!N:N)</f>
        <v>320</v>
      </c>
      <c r="D19" s="19">
        <f t="shared" si="0"/>
        <v>270.5</v>
      </c>
      <c r="E19" s="5">
        <f>SUMIF(Diario!C:C,A19,Diario!J:J)</f>
        <v>55</v>
      </c>
      <c r="F19" s="5">
        <f>SUMIF(Diario!C:C,A19,Diario!M:M)</f>
        <v>4</v>
      </c>
      <c r="G19" s="20">
        <f t="shared" si="1"/>
        <v>6.46464646464646</v>
      </c>
    </row>
    <row r="20" ht="15.75" customHeight="1">
      <c r="A20" s="5" t="s">
        <v>60</v>
      </c>
      <c r="B20" s="19">
        <f>SUMIF(Diario!C:C,A20,Diario!L:L)</f>
        <v>0</v>
      </c>
      <c r="C20" s="19">
        <f>SUMIF(Diario!C:C,A20,Diario!N:N)</f>
        <v>0</v>
      </c>
      <c r="D20" s="19">
        <f t="shared" si="0"/>
        <v>0</v>
      </c>
      <c r="E20" s="5">
        <f>SUMIF(Diario!C:C,A20,Diario!J:J)</f>
        <v>0</v>
      </c>
      <c r="F20" s="5">
        <f>SUMIF(Diario!C:C,A20,Diario!M:M)</f>
        <v>0</v>
      </c>
      <c r="G20" s="20">
        <f t="shared" si="1"/>
        <v>0</v>
      </c>
    </row>
    <row r="21" ht="15.75" customHeight="1">
      <c r="A21" s="5" t="s">
        <v>61</v>
      </c>
      <c r="B21" s="19">
        <f>SUMIF(Diario!C:C,A21,Diario!L:L)</f>
        <v>0</v>
      </c>
      <c r="C21" s="19">
        <f>SUMIF(Diario!C:C,A21,Diario!N:N)</f>
        <v>0</v>
      </c>
      <c r="D21" s="19">
        <f t="shared" si="0"/>
        <v>0</v>
      </c>
      <c r="E21" s="5">
        <f>SUMIF(Diario!C:C,A21,Diario!J:J)</f>
        <v>0</v>
      </c>
      <c r="F21" s="5">
        <f>SUMIF(Diario!C:C,A21,Diario!M:M)</f>
        <v>0</v>
      </c>
      <c r="G21" s="20">
        <f t="shared" si="1"/>
        <v>0</v>
      </c>
    </row>
    <row r="24" ht="17.25" customHeight="1">
      <c r="A24" s="6" t="s">
        <v>62</v>
      </c>
    </row>
    <row r="25" ht="15.75" customHeight="1">
      <c r="A25" s="3" t="s">
        <v>63</v>
      </c>
      <c r="B25" s="3" t="s">
        <v>52</v>
      </c>
      <c r="C25" s="3" t="s">
        <v>53</v>
      </c>
      <c r="D25" s="3" t="s">
        <v>54</v>
      </c>
      <c r="E25" s="3" t="s">
        <v>44</v>
      </c>
      <c r="F25" s="3" t="s">
        <v>55</v>
      </c>
      <c r="G25" s="3" t="s">
        <v>41</v>
      </c>
    </row>
    <row r="26" ht="15.75" customHeight="1">
      <c r="A26" s="5" t="s">
        <v>64</v>
      </c>
      <c r="B26" s="19">
        <f>SUMIF(Diario!G:G,A26,Diario!L:L)</f>
        <v>235.5</v>
      </c>
      <c r="C26" s="19">
        <f>SUMIF(Diario!G:G,A26,Diario!N:N)</f>
        <v>500</v>
      </c>
      <c r="D26" s="19">
        <f t="shared" si="0"/>
        <v>264.5</v>
      </c>
      <c r="E26" s="5">
        <f>SUMIF(Diario!G:G,A26,Diario!J:J)</f>
        <v>180</v>
      </c>
      <c r="F26" s="5">
        <f>SUMIF(Diario!G:G,A26,Diario!M:M)</f>
        <v>7</v>
      </c>
      <c r="G26" s="20">
        <f t="shared" si="1"/>
        <v>2.12314225053079</v>
      </c>
    </row>
    <row r="27" ht="15.75" customHeight="1">
      <c r="A27" s="5" t="s">
        <v>65</v>
      </c>
      <c r="B27" s="19">
        <f>SUMIF(Diario!G:G,A27,Diario!L:L)</f>
        <v>99</v>
      </c>
      <c r="C27" s="19">
        <f>SUMIF(Diario!G:G,A27,Diario!N:N)</f>
        <v>96</v>
      </c>
      <c r="D27" s="19">
        <f t="shared" si="0"/>
        <v>-3</v>
      </c>
      <c r="E27" s="5">
        <f>SUMIF(Diario!G:G,A27,Diario!J:J)</f>
        <v>220</v>
      </c>
      <c r="F27" s="5">
        <f>SUMIF(Diario!G:G,A27,Diario!M:M)</f>
        <v>12</v>
      </c>
      <c r="G27" s="20">
        <f t="shared" si="1"/>
        <v>0.96969696969697</v>
      </c>
    </row>
    <row r="28" ht="15.75" customHeight="1">
      <c r="A28" s="5" t="s">
        <v>66</v>
      </c>
      <c r="B28" s="19">
        <f>SUMIF(Diario!G:G,A28,Diario!L:L)</f>
        <v>112</v>
      </c>
      <c r="C28" s="19">
        <f>SUMIF(Diario!G:G,A28,Diario!N:N)</f>
        <v>110</v>
      </c>
      <c r="D28" s="19">
        <f t="shared" si="0"/>
        <v>-2</v>
      </c>
      <c r="E28" s="5">
        <f>SUMIF(Diario!G:G,A28,Diario!J:J)</f>
        <v>140</v>
      </c>
      <c r="F28" s="5">
        <f>SUMIF(Diario!G:G,A28,Diario!M:M)</f>
        <v>2</v>
      </c>
      <c r="G28" s="20">
        <f t="shared" si="1"/>
        <v>0.982142857142857</v>
      </c>
    </row>
    <row r="29" ht="15.75" customHeight="1">
      <c r="A29" s="5" t="s">
        <v>67</v>
      </c>
      <c r="B29" s="19">
        <f>SUMIF(Diario!G:G,A29,Diario!L:L)</f>
        <v>0</v>
      </c>
      <c r="C29" s="19">
        <f>SUMIF(Diario!G:G,A29,Diario!N:N)</f>
        <v>0</v>
      </c>
      <c r="D29" s="19">
        <f t="shared" si="0"/>
        <v>0</v>
      </c>
      <c r="E29" s="5">
        <f>SUMIF(Diario!G:G,A29,Diario!J:J)</f>
        <v>0</v>
      </c>
      <c r="F29" s="5">
        <f>SUMIF(Diario!G:G,A29,Diario!M:M)</f>
        <v>0</v>
      </c>
      <c r="G29" s="20">
        <f t="shared" si="1"/>
        <v>0</v>
      </c>
    </row>
    <row r="30" ht="15.75" customHeight="1">
      <c r="A30" s="5" t="s">
        <v>68</v>
      </c>
      <c r="B30" s="19">
        <f>SUMIF(Diario!G:G,A30,Diario!L:L)</f>
        <v>0</v>
      </c>
      <c r="C30" s="19">
        <f>SUMIF(Diario!G:G,A30,Diario!N:N)</f>
        <v>0</v>
      </c>
      <c r="D30" s="19">
        <f t="shared" si="0"/>
        <v>0</v>
      </c>
      <c r="E30" s="5">
        <f>SUMIF(Diario!G:G,A30,Diario!J:J)</f>
        <v>0</v>
      </c>
      <c r="F30" s="5">
        <f>SUMIF(Diario!G:G,A30,Diario!M:M)</f>
        <v>0</v>
      </c>
      <c r="G30" s="20">
        <f t="shared" si="1"/>
        <v>0</v>
      </c>
    </row>
    <row r="31" ht="15.75" customHeight="1">
      <c r="A31" s="5" t="s">
        <v>69</v>
      </c>
      <c r="B31" s="19">
        <f>SUMIF(Diario!G:G,A31,Diario!L:L)</f>
        <v>0</v>
      </c>
      <c r="C31" s="19">
        <f>SUMIF(Diario!G:G,A31,Diario!N:N)</f>
        <v>0</v>
      </c>
      <c r="D31" s="19">
        <f t="shared" si="0"/>
        <v>0</v>
      </c>
      <c r="E31" s="5">
        <f>SUMIF(Diario!G:G,A31,Diario!J:J)</f>
        <v>0</v>
      </c>
      <c r="F31" s="5">
        <f>SUMIF(Diario!G:G,A31,Diario!M:M)</f>
        <v>0</v>
      </c>
      <c r="G31" s="20">
        <f t="shared" si="1"/>
        <v>0</v>
      </c>
    </row>
    <row r="34" ht="15.75" customHeight="1">
      <c r="A34" s="7" t="s">
        <v>70</v>
      </c>
    </row>
    <row r="35" ht="15.75" customHeight="1">
      <c r="A35" s="8" t="s">
        <v>71</v>
      </c>
      <c r="B35" t="s">
        <v>72</v>
      </c>
    </row>
    <row r="36" ht="15.75" customHeight="1">
      <c r="A36" s="10" t="s">
        <v>73</v>
      </c>
      <c r="B36" t="s">
        <v>74</v>
      </c>
    </row>
    <row r="37" ht="15.75" customHeight="1">
      <c r="A37" s="9" t="s">
        <v>75</v>
      </c>
      <c r="B37" t="s">
        <v>76</v>
      </c>
    </row>
    <row r="39" ht="13.5" customHeight="1">
      <c r="A39" s="21" t="s">
        <v>77</v>
      </c>
    </row>
  </sheetData>
  <sheetProtection autoFilter="1" sort="1"/>
  <mergeCells>
    <mergeCell ref="A2:F2"/>
    <mergeCell ref="A14:G14"/>
    <mergeCell ref="A1:F1"/>
    <mergeCell ref="A39:G39"/>
  </mergeCells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17A8152-F77A-2E28-FD37-F26F397A727F}" mc:Ignorable="x14ac xr xr2 xr3">
  <dimension ref="A1:AZ56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1.421875" customWidth="1"/>
    <col min="2" max="2" width="33.140625" customWidth="1"/>
    <col min="3" max="3" width="11.421875" customWidth="1"/>
    <col min="4" max="4" width="15.8515625" customWidth="1"/>
    <col min="5" max="5" width="13.7109375" customWidth="1"/>
    <col min="6" max="6" width="10.28125" customWidth="1"/>
    <col min="7" max="7" width="20.140625" customWidth="1"/>
    <col min="8" max="8" width="11.00390625" customWidth="1"/>
    <col min="9" max="9" width="17.8515625" customWidth="1"/>
    <col min="10" max="10" width="13.7109375" customWidth="1"/>
    <col min="11" max="11" width="10.7109375" customWidth="1"/>
    <col min="12" max="12" width="12.140625" customWidth="1"/>
    <col min="13" max="13" width="18.140625" customWidth="1"/>
    <col min="14" max="14" width="24.8515625" customWidth="1"/>
    <col min="15" max="15" width="25.421875" customWidth="1"/>
    <col min="16" max="16" width="22.140625" customWidth="1"/>
    <col min="17" max="17" width="12.00390625" customWidth="1"/>
    <col min="18" max="19" width="10.57421875" customWidth="1"/>
    <col min="20" max="20" width="12.140625" customWidth="1"/>
    <col min="21" max="21" width="11.7109375" customWidth="1"/>
    <col min="22" max="22" width="14.28125" customWidth="1"/>
    <col min="23" max="23" width="17.8515625" customWidth="1"/>
  </cols>
  <sheetData>
    <row r="1" ht="15.75" customHeight="1" s="1" customFormat="1">
      <c r="A1" s="22" t="s">
        <v>78</v>
      </c>
      <c r="B1" s="22" t="s">
        <v>79</v>
      </c>
      <c r="C1" s="22" t="s">
        <v>51</v>
      </c>
      <c r="D1" s="22" t="s">
        <v>80</v>
      </c>
      <c r="E1" s="22" t="s">
        <v>81</v>
      </c>
      <c r="F1" s="22" t="s">
        <v>82</v>
      </c>
      <c r="G1" s="22" t="s">
        <v>83</v>
      </c>
      <c r="H1" s="22" t="s">
        <v>84</v>
      </c>
      <c r="I1" s="22" t="s">
        <v>85</v>
      </c>
      <c r="J1" s="22" t="s">
        <v>44</v>
      </c>
      <c r="K1" s="22" t="s">
        <v>86</v>
      </c>
      <c r="L1" s="22" t="s">
        <v>52</v>
      </c>
      <c r="M1" s="22" t="s">
        <v>87</v>
      </c>
      <c r="N1" s="22" t="s">
        <v>88</v>
      </c>
      <c r="O1" s="22" t="s">
        <v>89</v>
      </c>
      <c r="P1" s="22" t="s">
        <v>90</v>
      </c>
      <c r="Q1" s="22" t="s">
        <v>54</v>
      </c>
      <c r="R1" s="22" t="s">
        <v>91</v>
      </c>
      <c r="S1" s="22" t="s">
        <v>92</v>
      </c>
      <c r="T1" s="22" t="s">
        <v>41</v>
      </c>
      <c r="U1" s="22" t="s">
        <v>93</v>
      </c>
      <c r="V1" s="22" t="s">
        <v>94</v>
      </c>
      <c r="W1" s="22" t="s">
        <v>95</v>
      </c>
    </row>
    <row r="2" ht="15.75" customHeight="1">
      <c r="A2" s="23">
        <v>46213</v>
      </c>
      <c r="B2" s="5" t="s">
        <v>96</v>
      </c>
      <c r="C2" s="5" t="s">
        <v>56</v>
      </c>
      <c r="D2" s="5" t="s">
        <v>97</v>
      </c>
      <c r="E2" s="5" t="s">
        <v>98</v>
      </c>
      <c r="F2" s="5" t="s">
        <v>99</v>
      </c>
      <c r="G2" s="5" t="s">
        <v>64</v>
      </c>
      <c r="H2" s="5" t="s">
        <v>100</v>
      </c>
      <c r="I2" s="5">
        <v>1200</v>
      </c>
      <c r="J2" s="5">
        <v>85</v>
      </c>
      <c r="K2" s="19">
        <v>1.2</v>
      </c>
      <c r="L2" s="19">
        <f t="shared" si="0" ref="L2:L6">J2*K2</f>
        <v>102</v>
      </c>
      <c r="M2" s="24">
        <v>3</v>
      </c>
      <c r="N2" s="19">
        <v>180</v>
      </c>
      <c r="O2" s="19">
        <v>0</v>
      </c>
      <c r="P2" s="19">
        <f t="shared" si="1" ref="P2:P6">N2-O2</f>
        <v>180</v>
      </c>
      <c r="Q2" s="19">
        <f t="shared" si="2" ref="Q2:Q6">P2-L2</f>
        <v>78</v>
      </c>
      <c r="R2" s="19">
        <f t="shared" si="3" ref="R2:R6">IF(J2=0,0,P2/J2)</f>
        <v>2.11764705882353</v>
      </c>
      <c r="S2" s="25">
        <f t="shared" si="4" ref="S2:S6">IF(J2=0,0,M2/J2)</f>
        <v>0.0352941176470588</v>
      </c>
      <c r="T2" s="20">
        <f t="shared" si="5" ref="T2:T6">IF(L2=0,0,P2/L2)</f>
        <v>1.76470588235294</v>
      </c>
      <c r="U2" s="19">
        <f t="shared" si="6" ref="U2:U6">IF(M2=0,0,L2/M2)</f>
        <v>34</v>
      </c>
      <c r="V2" s="26" t="s">
        <v>71</v>
      </c>
      <c r="W2" s="5" t="s">
        <v>101</v>
      </c>
    </row>
    <row r="3" ht="15.75" customHeight="1">
      <c r="A3" s="23">
        <v>46214</v>
      </c>
      <c r="B3" s="5" t="s">
        <v>102</v>
      </c>
      <c r="C3" s="5" t="s">
        <v>58</v>
      </c>
      <c r="D3" s="5" t="s">
        <v>103</v>
      </c>
      <c r="E3" s="5" t="s">
        <v>104</v>
      </c>
      <c r="F3" s="5" t="s">
        <v>105</v>
      </c>
      <c r="G3" s="5" t="s">
        <v>65</v>
      </c>
      <c r="H3" s="5" t="s">
        <v>106</v>
      </c>
      <c r="I3" s="5">
        <v>8000</v>
      </c>
      <c r="J3" s="5">
        <v>220</v>
      </c>
      <c r="K3" s="19">
        <v>0.45</v>
      </c>
      <c r="L3" s="19">
        <f t="shared" si="0"/>
        <v>99</v>
      </c>
      <c r="M3" s="24">
        <v>12</v>
      </c>
      <c r="N3" s="19">
        <v>96</v>
      </c>
      <c r="O3" s="19">
        <v>1</v>
      </c>
      <c r="P3" s="19">
        <f t="shared" si="1"/>
        <v>95</v>
      </c>
      <c r="Q3" s="19">
        <f t="shared" si="2"/>
        <v>-4</v>
      </c>
      <c r="R3" s="19">
        <f t="shared" si="3"/>
        <v>0.431818181818182</v>
      </c>
      <c r="S3" s="25">
        <f t="shared" si="4"/>
        <v>0.0545454545454545</v>
      </c>
      <c r="T3" s="20">
        <f t="shared" si="5"/>
        <v>0.95959595959596</v>
      </c>
      <c r="U3" s="19">
        <f t="shared" si="6"/>
        <v>8.25</v>
      </c>
      <c r="V3" s="27" t="s">
        <v>73</v>
      </c>
      <c r="W3" s="5" t="s">
        <v>107</v>
      </c>
    </row>
    <row r="4" ht="15.75" customHeight="1">
      <c r="A4" s="23">
        <v>46215</v>
      </c>
      <c r="B4" s="5" t="s">
        <v>108</v>
      </c>
      <c r="C4" s="5" t="s">
        <v>57</v>
      </c>
      <c r="D4" s="5" t="s">
        <v>109</v>
      </c>
      <c r="E4" s="5" t="s">
        <v>110</v>
      </c>
      <c r="F4" s="5" t="s">
        <v>99</v>
      </c>
      <c r="G4" s="5" t="s">
        <v>66</v>
      </c>
      <c r="H4" s="5" t="s">
        <v>100</v>
      </c>
      <c r="I4" s="5">
        <v>3500</v>
      </c>
      <c r="J4" s="5">
        <v>140</v>
      </c>
      <c r="K4" s="19">
        <v>0.8</v>
      </c>
      <c r="L4" s="19">
        <f t="shared" si="0"/>
        <v>112</v>
      </c>
      <c r="M4" s="24">
        <v>2</v>
      </c>
      <c r="N4" s="19">
        <v>110</v>
      </c>
      <c r="O4" s="19">
        <v>0</v>
      </c>
      <c r="P4" s="19">
        <f t="shared" si="1"/>
        <v>110</v>
      </c>
      <c r="Q4" s="19">
        <f t="shared" si="2"/>
        <v>-2</v>
      </c>
      <c r="R4" s="19">
        <f t="shared" si="3"/>
        <v>0.785714285714286</v>
      </c>
      <c r="S4" s="25">
        <f t="shared" si="4"/>
        <v>0.0142857142857143</v>
      </c>
      <c r="T4" s="20">
        <f t="shared" si="5"/>
        <v>0.982142857142857</v>
      </c>
      <c r="U4" s="19">
        <f t="shared" si="6"/>
        <v>56</v>
      </c>
      <c r="V4" s="27" t="s">
        <v>73</v>
      </c>
      <c r="W4" s="5" t="s">
        <v>111</v>
      </c>
    </row>
    <row r="5" ht="15.75" customHeight="1">
      <c r="A5" s="23">
        <v>46216</v>
      </c>
      <c r="B5" s="5" t="s">
        <v>112</v>
      </c>
      <c r="C5" s="5" t="s">
        <v>56</v>
      </c>
      <c r="D5" s="5" t="s">
        <v>113</v>
      </c>
      <c r="E5" s="5" t="s">
        <v>114</v>
      </c>
      <c r="F5" s="5" t="s">
        <v>99</v>
      </c>
      <c r="G5" s="5" t="s">
        <v>64</v>
      </c>
      <c r="H5" s="5" t="s">
        <v>100</v>
      </c>
      <c r="I5" s="5">
        <v>900</v>
      </c>
      <c r="J5" s="5">
        <v>40</v>
      </c>
      <c r="K5" s="19">
        <v>2.1</v>
      </c>
      <c r="L5" s="19">
        <f t="shared" si="0"/>
        <v>84</v>
      </c>
      <c r="M5" s="24">
        <v>0</v>
      </c>
      <c r="N5" s="19">
        <v>0</v>
      </c>
      <c r="O5" s="19">
        <v>0</v>
      </c>
      <c r="P5" s="19">
        <f t="shared" si="1"/>
        <v>0</v>
      </c>
      <c r="Q5" s="19">
        <f t="shared" si="2"/>
        <v>-84</v>
      </c>
      <c r="R5" s="19">
        <f t="shared" si="3"/>
        <v>0</v>
      </c>
      <c r="S5" s="25">
        <f t="shared" si="4"/>
        <v>0</v>
      </c>
      <c r="T5" s="20">
        <f t="shared" si="5"/>
        <v>0</v>
      </c>
      <c r="U5" s="19">
        <f t="shared" si="6"/>
        <v>0</v>
      </c>
      <c r="V5" s="28" t="s">
        <v>75</v>
      </c>
      <c r="W5" s="5" t="s">
        <v>115</v>
      </c>
    </row>
    <row r="6" ht="15.75" customHeight="1">
      <c r="A6" s="23">
        <v>46217</v>
      </c>
      <c r="B6" s="5" t="s">
        <v>116</v>
      </c>
      <c r="C6" s="5" t="s">
        <v>59</v>
      </c>
      <c r="D6" s="5" t="s">
        <v>117</v>
      </c>
      <c r="E6" s="5" t="s">
        <v>118</v>
      </c>
      <c r="F6" s="5" t="s">
        <v>105</v>
      </c>
      <c r="G6" s="5" t="s">
        <v>64</v>
      </c>
      <c r="H6" s="5" t="s">
        <v>119</v>
      </c>
      <c r="I6" s="5">
        <v>600</v>
      </c>
      <c r="J6" s="5">
        <v>55</v>
      </c>
      <c r="K6" s="19">
        <v>0.9</v>
      </c>
      <c r="L6" s="19">
        <f t="shared" si="0"/>
        <v>49.5</v>
      </c>
      <c r="M6" s="24">
        <v>4</v>
      </c>
      <c r="N6" s="19">
        <v>320</v>
      </c>
      <c r="O6" s="19">
        <v>0</v>
      </c>
      <c r="P6" s="19">
        <f t="shared" si="1"/>
        <v>320</v>
      </c>
      <c r="Q6" s="19">
        <f t="shared" si="2"/>
        <v>270.5</v>
      </c>
      <c r="R6" s="19">
        <f t="shared" si="3"/>
        <v>5.81818181818182</v>
      </c>
      <c r="S6" s="25">
        <f t="shared" si="4"/>
        <v>0.0727272727272727</v>
      </c>
      <c r="T6" s="20">
        <f t="shared" si="5"/>
        <v>6.46464646464646</v>
      </c>
      <c r="U6" s="19">
        <f t="shared" si="6"/>
        <v>12.375</v>
      </c>
      <c r="V6" s="26" t="s">
        <v>71</v>
      </c>
      <c r="W6" s="5" t="s">
        <v>120</v>
      </c>
    </row>
    <row r="7" ht="1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9" t="str">
        <f t="shared" si="7" ref="L7:L50">IF(J7="","",J7*K7)</f>
        <v/>
      </c>
      <c r="M7" s="5"/>
      <c r="N7" s="5"/>
      <c r="O7" s="5"/>
      <c r="P7" s="19" t="str">
        <f t="shared" si="8" ref="P7:P50">IF(N7="","",N7-IF(O7="",0,O7))</f>
        <v/>
      </c>
      <c r="Q7" s="19" t="str">
        <f t="shared" si="9" ref="Q7:Q50">IF(P7="","",P7-IF(L7="",0,L7))</f>
        <v/>
      </c>
      <c r="R7" s="19" t="str">
        <f t="shared" si="10" ref="R7:R50">IF(OR(J7="",J7=0),"",P7/J7)</f>
        <v/>
      </c>
      <c r="S7" s="25" t="str">
        <f t="shared" si="11" ref="S7:S50">IF(OR(J7="",J7=0),"",M7/J7)</f>
        <v/>
      </c>
      <c r="T7" s="20" t="str">
        <f t="shared" si="12" ref="T7:T50">IF(OR(L7="",L7=0),"",P7/L7)</f>
        <v/>
      </c>
      <c r="U7" s="19" t="str">
        <f t="shared" si="13" ref="U7:U50">IF(OR(M7="",M7=0),"",L7/M7)</f>
        <v/>
      </c>
      <c r="V7" s="5"/>
      <c r="W7" s="5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9" t="str">
        <f t="shared" si="7"/>
        <v/>
      </c>
      <c r="M8" s="5"/>
      <c r="N8" s="5"/>
      <c r="O8" s="5"/>
      <c r="P8" s="19" t="str">
        <f t="shared" si="8"/>
        <v/>
      </c>
      <c r="Q8" s="19" t="str">
        <f t="shared" si="9"/>
        <v/>
      </c>
      <c r="R8" s="19" t="str">
        <f t="shared" si="10"/>
        <v/>
      </c>
      <c r="S8" s="25" t="str">
        <f t="shared" si="11"/>
        <v/>
      </c>
      <c r="T8" s="20" t="str">
        <f t="shared" si="12"/>
        <v/>
      </c>
      <c r="U8" s="19" t="str">
        <f t="shared" si="13"/>
        <v/>
      </c>
      <c r="V8" s="5"/>
      <c r="W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9" t="str">
        <f t="shared" si="7"/>
        <v/>
      </c>
      <c r="M9" s="5"/>
      <c r="N9" s="5"/>
      <c r="O9" s="5"/>
      <c r="P9" s="19" t="str">
        <f t="shared" si="8"/>
        <v/>
      </c>
      <c r="Q9" s="19" t="str">
        <f t="shared" si="9"/>
        <v/>
      </c>
      <c r="R9" s="19" t="str">
        <f t="shared" si="10"/>
        <v/>
      </c>
      <c r="S9" s="25" t="str">
        <f t="shared" si="11"/>
        <v/>
      </c>
      <c r="T9" s="20" t="str">
        <f t="shared" si="12"/>
        <v/>
      </c>
      <c r="U9" s="19" t="str">
        <f t="shared" si="13"/>
        <v/>
      </c>
      <c r="V9" s="5"/>
      <c r="W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19" t="str">
        <f t="shared" si="7"/>
        <v/>
      </c>
      <c r="M10" s="5"/>
      <c r="N10" s="5"/>
      <c r="O10" s="5"/>
      <c r="P10" s="19" t="str">
        <f t="shared" si="8"/>
        <v/>
      </c>
      <c r="Q10" s="19" t="str">
        <f t="shared" si="9"/>
        <v/>
      </c>
      <c r="R10" s="19" t="str">
        <f t="shared" si="10"/>
        <v/>
      </c>
      <c r="S10" s="25" t="str">
        <f t="shared" si="11"/>
        <v/>
      </c>
      <c r="T10" s="20" t="str">
        <f t="shared" si="12"/>
        <v/>
      </c>
      <c r="U10" s="19" t="str">
        <f t="shared" si="13"/>
        <v/>
      </c>
      <c r="V10" s="5"/>
      <c r="W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19" t="str">
        <f t="shared" si="7"/>
        <v/>
      </c>
      <c r="M11" s="5"/>
      <c r="N11" s="5"/>
      <c r="O11" s="5"/>
      <c r="P11" s="19" t="str">
        <f t="shared" si="8"/>
        <v/>
      </c>
      <c r="Q11" s="19" t="str">
        <f t="shared" si="9"/>
        <v/>
      </c>
      <c r="R11" s="19" t="str">
        <f t="shared" si="10"/>
        <v/>
      </c>
      <c r="S11" s="25" t="str">
        <f t="shared" si="11"/>
        <v/>
      </c>
      <c r="T11" s="20" t="str">
        <f t="shared" si="12"/>
        <v/>
      </c>
      <c r="U11" s="19" t="str">
        <f t="shared" si="13"/>
        <v/>
      </c>
      <c r="V11" s="5"/>
      <c r="W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19" t="str">
        <f t="shared" si="7"/>
        <v/>
      </c>
      <c r="M12" s="5"/>
      <c r="N12" s="5"/>
      <c r="O12" s="5"/>
      <c r="P12" s="19" t="str">
        <f t="shared" si="8"/>
        <v/>
      </c>
      <c r="Q12" s="19" t="str">
        <f t="shared" si="9"/>
        <v/>
      </c>
      <c r="R12" s="19" t="str">
        <f t="shared" si="10"/>
        <v/>
      </c>
      <c r="S12" s="25" t="str">
        <f t="shared" si="11"/>
        <v/>
      </c>
      <c r="T12" s="20" t="str">
        <f t="shared" si="12"/>
        <v/>
      </c>
      <c r="U12" s="19" t="str">
        <f t="shared" si="13"/>
        <v/>
      </c>
      <c r="V12" s="5"/>
      <c r="W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19" t="str">
        <f t="shared" si="7"/>
        <v/>
      </c>
      <c r="M13" s="5"/>
      <c r="N13" s="5"/>
      <c r="O13" s="5"/>
      <c r="P13" s="19" t="str">
        <f t="shared" si="8"/>
        <v/>
      </c>
      <c r="Q13" s="19" t="str">
        <f t="shared" si="9"/>
        <v/>
      </c>
      <c r="R13" s="19" t="str">
        <f t="shared" si="10"/>
        <v/>
      </c>
      <c r="S13" s="25" t="str">
        <f t="shared" si="11"/>
        <v/>
      </c>
      <c r="T13" s="20" t="str">
        <f t="shared" si="12"/>
        <v/>
      </c>
      <c r="U13" s="19" t="str">
        <f t="shared" si="13"/>
        <v/>
      </c>
      <c r="V13" s="5"/>
      <c r="W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19" t="str">
        <f t="shared" si="7"/>
        <v/>
      </c>
      <c r="M14" s="5"/>
      <c r="N14" s="5"/>
      <c r="O14" s="5"/>
      <c r="P14" s="19" t="str">
        <f t="shared" si="8"/>
        <v/>
      </c>
      <c r="Q14" s="19" t="str">
        <f t="shared" si="9"/>
        <v/>
      </c>
      <c r="R14" s="19" t="str">
        <f t="shared" si="10"/>
        <v/>
      </c>
      <c r="S14" s="25" t="str">
        <f t="shared" si="11"/>
        <v/>
      </c>
      <c r="T14" s="20" t="str">
        <f t="shared" si="12"/>
        <v/>
      </c>
      <c r="U14" s="19" t="str">
        <f t="shared" si="13"/>
        <v/>
      </c>
      <c r="V14" s="5"/>
      <c r="W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19" t="str">
        <f t="shared" si="7"/>
        <v/>
      </c>
      <c r="M15" s="5"/>
      <c r="N15" s="5"/>
      <c r="O15" s="5"/>
      <c r="P15" s="19" t="str">
        <f t="shared" si="8"/>
        <v/>
      </c>
      <c r="Q15" s="19" t="str">
        <f t="shared" si="9"/>
        <v/>
      </c>
      <c r="R15" s="19" t="str">
        <f t="shared" si="10"/>
        <v/>
      </c>
      <c r="S15" s="25" t="str">
        <f t="shared" si="11"/>
        <v/>
      </c>
      <c r="T15" s="20" t="str">
        <f t="shared" si="12"/>
        <v/>
      </c>
      <c r="U15" s="19" t="str">
        <f t="shared" si="13"/>
        <v/>
      </c>
      <c r="V15" s="5"/>
      <c r="W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19" t="str">
        <f t="shared" si="7"/>
        <v/>
      </c>
      <c r="M16" s="5"/>
      <c r="N16" s="5"/>
      <c r="O16" s="5"/>
      <c r="P16" s="19" t="str">
        <f t="shared" si="8"/>
        <v/>
      </c>
      <c r="Q16" s="19" t="str">
        <f t="shared" si="9"/>
        <v/>
      </c>
      <c r="R16" s="19" t="str">
        <f t="shared" si="10"/>
        <v/>
      </c>
      <c r="S16" s="25" t="str">
        <f t="shared" si="11"/>
        <v/>
      </c>
      <c r="T16" s="20" t="str">
        <f t="shared" si="12"/>
        <v/>
      </c>
      <c r="U16" s="19" t="str">
        <f t="shared" si="13"/>
        <v/>
      </c>
      <c r="V16" s="5"/>
      <c r="W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19" t="str">
        <f t="shared" si="7"/>
        <v/>
      </c>
      <c r="M17" s="5"/>
      <c r="N17" s="5"/>
      <c r="O17" s="5"/>
      <c r="P17" s="19" t="str">
        <f t="shared" si="8"/>
        <v/>
      </c>
      <c r="Q17" s="19" t="str">
        <f t="shared" si="9"/>
        <v/>
      </c>
      <c r="R17" s="19" t="str">
        <f t="shared" si="10"/>
        <v/>
      </c>
      <c r="S17" s="25" t="str">
        <f t="shared" si="11"/>
        <v/>
      </c>
      <c r="T17" s="20" t="str">
        <f t="shared" si="12"/>
        <v/>
      </c>
      <c r="U17" s="19" t="str">
        <f t="shared" si="13"/>
        <v/>
      </c>
      <c r="V17" s="5"/>
      <c r="W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19" t="str">
        <f t="shared" si="7"/>
        <v/>
      </c>
      <c r="M18" s="5"/>
      <c r="N18" s="5"/>
      <c r="O18" s="5"/>
      <c r="P18" s="19" t="str">
        <f t="shared" si="8"/>
        <v/>
      </c>
      <c r="Q18" s="19" t="str">
        <f t="shared" si="9"/>
        <v/>
      </c>
      <c r="R18" s="19" t="str">
        <f t="shared" si="10"/>
        <v/>
      </c>
      <c r="S18" s="25" t="str">
        <f t="shared" si="11"/>
        <v/>
      </c>
      <c r="T18" s="20" t="str">
        <f t="shared" si="12"/>
        <v/>
      </c>
      <c r="U18" s="19" t="str">
        <f t="shared" si="13"/>
        <v/>
      </c>
      <c r="V18" s="5"/>
      <c r="W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19" t="str">
        <f t="shared" si="7"/>
        <v/>
      </c>
      <c r="M19" s="5"/>
      <c r="N19" s="5"/>
      <c r="O19" s="5"/>
      <c r="P19" s="19" t="str">
        <f t="shared" si="8"/>
        <v/>
      </c>
      <c r="Q19" s="19" t="str">
        <f t="shared" si="9"/>
        <v/>
      </c>
      <c r="R19" s="19" t="str">
        <f t="shared" si="10"/>
        <v/>
      </c>
      <c r="S19" s="25" t="str">
        <f t="shared" si="11"/>
        <v/>
      </c>
      <c r="T19" s="20" t="str">
        <f t="shared" si="12"/>
        <v/>
      </c>
      <c r="U19" s="19" t="str">
        <f t="shared" si="13"/>
        <v/>
      </c>
      <c r="V19" s="5"/>
      <c r="W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19" t="str">
        <f t="shared" si="7"/>
        <v/>
      </c>
      <c r="M20" s="5"/>
      <c r="N20" s="5"/>
      <c r="O20" s="5"/>
      <c r="P20" s="19" t="str">
        <f t="shared" si="8"/>
        <v/>
      </c>
      <c r="Q20" s="19" t="str">
        <f t="shared" si="9"/>
        <v/>
      </c>
      <c r="R20" s="19" t="str">
        <f t="shared" si="10"/>
        <v/>
      </c>
      <c r="S20" s="25" t="str">
        <f t="shared" si="11"/>
        <v/>
      </c>
      <c r="T20" s="20" t="str">
        <f t="shared" si="12"/>
        <v/>
      </c>
      <c r="U20" s="19" t="str">
        <f t="shared" si="13"/>
        <v/>
      </c>
      <c r="V20" s="5"/>
      <c r="W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19" t="str">
        <f t="shared" si="7"/>
        <v/>
      </c>
      <c r="M21" s="5"/>
      <c r="N21" s="5"/>
      <c r="O21" s="5"/>
      <c r="P21" s="19" t="str">
        <f t="shared" si="8"/>
        <v/>
      </c>
      <c r="Q21" s="19" t="str">
        <f t="shared" si="9"/>
        <v/>
      </c>
      <c r="R21" s="19" t="str">
        <f t="shared" si="10"/>
        <v/>
      </c>
      <c r="S21" s="25" t="str">
        <f t="shared" si="11"/>
        <v/>
      </c>
      <c r="T21" s="20" t="str">
        <f t="shared" si="12"/>
        <v/>
      </c>
      <c r="U21" s="19" t="str">
        <f t="shared" si="13"/>
        <v/>
      </c>
      <c r="V21" s="5"/>
      <c r="W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19" t="str">
        <f t="shared" si="7"/>
        <v/>
      </c>
      <c r="M22" s="5"/>
      <c r="N22" s="5"/>
      <c r="O22" s="5"/>
      <c r="P22" s="19" t="str">
        <f t="shared" si="8"/>
        <v/>
      </c>
      <c r="Q22" s="19" t="str">
        <f t="shared" si="9"/>
        <v/>
      </c>
      <c r="R22" s="19" t="str">
        <f t="shared" si="10"/>
        <v/>
      </c>
      <c r="S22" s="25" t="str">
        <f t="shared" si="11"/>
        <v/>
      </c>
      <c r="T22" s="20" t="str">
        <f t="shared" si="12"/>
        <v/>
      </c>
      <c r="U22" s="19" t="str">
        <f t="shared" si="13"/>
        <v/>
      </c>
      <c r="V22" s="5"/>
      <c r="W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19" t="str">
        <f t="shared" si="7"/>
        <v/>
      </c>
      <c r="M23" s="5"/>
      <c r="N23" s="5"/>
      <c r="O23" s="5"/>
      <c r="P23" s="19" t="str">
        <f t="shared" si="8"/>
        <v/>
      </c>
      <c r="Q23" s="19" t="str">
        <f t="shared" si="9"/>
        <v/>
      </c>
      <c r="R23" s="19" t="str">
        <f t="shared" si="10"/>
        <v/>
      </c>
      <c r="S23" s="25" t="str">
        <f t="shared" si="11"/>
        <v/>
      </c>
      <c r="T23" s="20" t="str">
        <f t="shared" si="12"/>
        <v/>
      </c>
      <c r="U23" s="19" t="str">
        <f t="shared" si="13"/>
        <v/>
      </c>
      <c r="V23" s="5"/>
      <c r="W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19" t="str">
        <f t="shared" si="7"/>
        <v/>
      </c>
      <c r="M24" s="5"/>
      <c r="N24" s="5"/>
      <c r="O24" s="5"/>
      <c r="P24" s="19" t="str">
        <f t="shared" si="8"/>
        <v/>
      </c>
      <c r="Q24" s="19" t="str">
        <f t="shared" si="9"/>
        <v/>
      </c>
      <c r="R24" s="19" t="str">
        <f t="shared" si="10"/>
        <v/>
      </c>
      <c r="S24" s="25" t="str">
        <f t="shared" si="11"/>
        <v/>
      </c>
      <c r="T24" s="20" t="str">
        <f t="shared" si="12"/>
        <v/>
      </c>
      <c r="U24" s="19" t="str">
        <f t="shared" si="13"/>
        <v/>
      </c>
      <c r="V24" s="5"/>
      <c r="W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19" t="str">
        <f t="shared" si="7"/>
        <v/>
      </c>
      <c r="M25" s="5"/>
      <c r="N25" s="5"/>
      <c r="O25" s="5"/>
      <c r="P25" s="19" t="str">
        <f t="shared" si="8"/>
        <v/>
      </c>
      <c r="Q25" s="19" t="str">
        <f t="shared" si="9"/>
        <v/>
      </c>
      <c r="R25" s="19" t="str">
        <f t="shared" si="10"/>
        <v/>
      </c>
      <c r="S25" s="25" t="str">
        <f t="shared" si="11"/>
        <v/>
      </c>
      <c r="T25" s="20" t="str">
        <f t="shared" si="12"/>
        <v/>
      </c>
      <c r="U25" s="19" t="str">
        <f t="shared" si="13"/>
        <v/>
      </c>
      <c r="V25" s="5"/>
      <c r="W25" s="5"/>
    </row>
    <row r="26" ht="1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19" t="str">
        <f t="shared" si="7"/>
        <v/>
      </c>
      <c r="M26" s="5"/>
      <c r="N26" s="5"/>
      <c r="O26" s="5"/>
      <c r="P26" s="19" t="str">
        <f t="shared" si="8"/>
        <v/>
      </c>
      <c r="Q26" s="19" t="str">
        <f t="shared" si="9"/>
        <v/>
      </c>
      <c r="R26" s="19" t="str">
        <f t="shared" si="10"/>
        <v/>
      </c>
      <c r="S26" s="25" t="str">
        <f t="shared" si="11"/>
        <v/>
      </c>
      <c r="T26" s="20" t="str">
        <f t="shared" si="12"/>
        <v/>
      </c>
      <c r="U26" s="19" t="str">
        <f t="shared" si="13"/>
        <v/>
      </c>
      <c r="V26" s="5"/>
      <c r="W26" s="5"/>
    </row>
    <row r="27" ht="1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19" t="str">
        <f t="shared" si="7"/>
        <v/>
      </c>
      <c r="M27" s="5"/>
      <c r="N27" s="5"/>
      <c r="O27" s="5"/>
      <c r="P27" s="19" t="str">
        <f t="shared" si="8"/>
        <v/>
      </c>
      <c r="Q27" s="19" t="str">
        <f t="shared" si="9"/>
        <v/>
      </c>
      <c r="R27" s="19" t="str">
        <f t="shared" si="10"/>
        <v/>
      </c>
      <c r="S27" s="25" t="str">
        <f t="shared" si="11"/>
        <v/>
      </c>
      <c r="T27" s="20" t="str">
        <f t="shared" si="12"/>
        <v/>
      </c>
      <c r="U27" s="19" t="str">
        <f t="shared" si="13"/>
        <v/>
      </c>
      <c r="V27" s="5"/>
      <c r="W27" s="5"/>
    </row>
    <row r="28" ht="1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19" t="str">
        <f t="shared" si="7"/>
        <v/>
      </c>
      <c r="M28" s="5"/>
      <c r="N28" s="5"/>
      <c r="O28" s="5"/>
      <c r="P28" s="19" t="str">
        <f t="shared" si="8"/>
        <v/>
      </c>
      <c r="Q28" s="19" t="str">
        <f t="shared" si="9"/>
        <v/>
      </c>
      <c r="R28" s="19" t="str">
        <f t="shared" si="10"/>
        <v/>
      </c>
      <c r="S28" s="25" t="str">
        <f t="shared" si="11"/>
        <v/>
      </c>
      <c r="T28" s="20" t="str">
        <f t="shared" si="12"/>
        <v/>
      </c>
      <c r="U28" s="19" t="str">
        <f t="shared" si="13"/>
        <v/>
      </c>
      <c r="V28" s="5"/>
      <c r="W28" s="5"/>
    </row>
    <row r="29" ht="1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19" t="str">
        <f t="shared" si="7"/>
        <v/>
      </c>
      <c r="M29" s="5"/>
      <c r="N29" s="5"/>
      <c r="O29" s="5"/>
      <c r="P29" s="19" t="str">
        <f t="shared" si="8"/>
        <v/>
      </c>
      <c r="Q29" s="19" t="str">
        <f t="shared" si="9"/>
        <v/>
      </c>
      <c r="R29" s="19" t="str">
        <f t="shared" si="10"/>
        <v/>
      </c>
      <c r="S29" s="25" t="str">
        <f t="shared" si="11"/>
        <v/>
      </c>
      <c r="T29" s="20" t="str">
        <f t="shared" si="12"/>
        <v/>
      </c>
      <c r="U29" s="19" t="str">
        <f t="shared" si="13"/>
        <v/>
      </c>
      <c r="V29" s="5"/>
      <c r="W29" s="5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19" t="str">
        <f t="shared" si="7"/>
        <v/>
      </c>
      <c r="M30" s="5"/>
      <c r="N30" s="5"/>
      <c r="O30" s="5"/>
      <c r="P30" s="19" t="str">
        <f t="shared" si="8"/>
        <v/>
      </c>
      <c r="Q30" s="19" t="str">
        <f t="shared" si="9"/>
        <v/>
      </c>
      <c r="R30" s="19" t="str">
        <f t="shared" si="10"/>
        <v/>
      </c>
      <c r="S30" s="25" t="str">
        <f t="shared" si="11"/>
        <v/>
      </c>
      <c r="T30" s="20" t="str">
        <f t="shared" si="12"/>
        <v/>
      </c>
      <c r="U30" s="19" t="str">
        <f t="shared" si="13"/>
        <v/>
      </c>
      <c r="V30" s="5"/>
      <c r="W30" s="5"/>
    </row>
    <row r="31" ht="1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19" t="str">
        <f t="shared" si="7"/>
        <v/>
      </c>
      <c r="M31" s="5"/>
      <c r="N31" s="5"/>
      <c r="O31" s="5"/>
      <c r="P31" s="19" t="str">
        <f t="shared" si="8"/>
        <v/>
      </c>
      <c r="Q31" s="19" t="str">
        <f t="shared" si="9"/>
        <v/>
      </c>
      <c r="R31" s="19" t="str">
        <f t="shared" si="10"/>
        <v/>
      </c>
      <c r="S31" s="25" t="str">
        <f t="shared" si="11"/>
        <v/>
      </c>
      <c r="T31" s="20" t="str">
        <f t="shared" si="12"/>
        <v/>
      </c>
      <c r="U31" s="19" t="str">
        <f t="shared" si="13"/>
        <v/>
      </c>
      <c r="V31" s="5"/>
      <c r="W31" s="5"/>
    </row>
    <row r="32" ht="1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19" t="str">
        <f t="shared" si="7"/>
        <v/>
      </c>
      <c r="M32" s="5"/>
      <c r="N32" s="5"/>
      <c r="O32" s="5"/>
      <c r="P32" s="19" t="str">
        <f t="shared" si="8"/>
        <v/>
      </c>
      <c r="Q32" s="19" t="str">
        <f t="shared" si="9"/>
        <v/>
      </c>
      <c r="R32" s="19" t="str">
        <f t="shared" si="10"/>
        <v/>
      </c>
      <c r="S32" s="25" t="str">
        <f t="shared" si="11"/>
        <v/>
      </c>
      <c r="T32" s="20" t="str">
        <f t="shared" si="12"/>
        <v/>
      </c>
      <c r="U32" s="19" t="str">
        <f t="shared" si="13"/>
        <v/>
      </c>
      <c r="V32" s="5"/>
      <c r="W32" s="5"/>
    </row>
    <row r="33" ht="1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19" t="str">
        <f t="shared" si="7"/>
        <v/>
      </c>
      <c r="M33" s="5"/>
      <c r="N33" s="5"/>
      <c r="O33" s="5"/>
      <c r="P33" s="19" t="str">
        <f t="shared" si="8"/>
        <v/>
      </c>
      <c r="Q33" s="19" t="str">
        <f t="shared" si="9"/>
        <v/>
      </c>
      <c r="R33" s="19" t="str">
        <f t="shared" si="10"/>
        <v/>
      </c>
      <c r="S33" s="25" t="str">
        <f t="shared" si="11"/>
        <v/>
      </c>
      <c r="T33" s="20" t="str">
        <f t="shared" si="12"/>
        <v/>
      </c>
      <c r="U33" s="19" t="str">
        <f t="shared" si="13"/>
        <v/>
      </c>
      <c r="V33" s="5"/>
      <c r="W33" s="5"/>
    </row>
    <row r="34" ht="1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19" t="str">
        <f t="shared" si="7"/>
        <v/>
      </c>
      <c r="M34" s="5"/>
      <c r="N34" s="5"/>
      <c r="O34" s="5"/>
      <c r="P34" s="19" t="str">
        <f t="shared" si="8"/>
        <v/>
      </c>
      <c r="Q34" s="19" t="str">
        <f t="shared" si="9"/>
        <v/>
      </c>
      <c r="R34" s="19" t="str">
        <f t="shared" si="10"/>
        <v/>
      </c>
      <c r="S34" s="25" t="str">
        <f t="shared" si="11"/>
        <v/>
      </c>
      <c r="T34" s="20" t="str">
        <f t="shared" si="12"/>
        <v/>
      </c>
      <c r="U34" s="19" t="str">
        <f t="shared" si="13"/>
        <v/>
      </c>
      <c r="V34" s="5"/>
      <c r="W34" s="5"/>
    </row>
    <row r="35" ht="1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19" t="str">
        <f t="shared" si="7"/>
        <v/>
      </c>
      <c r="M35" s="5"/>
      <c r="N35" s="5"/>
      <c r="O35" s="5"/>
      <c r="P35" s="19" t="str">
        <f t="shared" si="8"/>
        <v/>
      </c>
      <c r="Q35" s="19" t="str">
        <f t="shared" si="9"/>
        <v/>
      </c>
      <c r="R35" s="19" t="str">
        <f t="shared" si="10"/>
        <v/>
      </c>
      <c r="S35" s="25" t="str">
        <f t="shared" si="11"/>
        <v/>
      </c>
      <c r="T35" s="20" t="str">
        <f t="shared" si="12"/>
        <v/>
      </c>
      <c r="U35" s="19" t="str">
        <f t="shared" si="13"/>
        <v/>
      </c>
      <c r="V35" s="5"/>
      <c r="W35" s="5"/>
    </row>
    <row r="36" ht="1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19" t="str">
        <f t="shared" si="7"/>
        <v/>
      </c>
      <c r="M36" s="5"/>
      <c r="N36" s="5"/>
      <c r="O36" s="5"/>
      <c r="P36" s="19" t="str">
        <f t="shared" si="8"/>
        <v/>
      </c>
      <c r="Q36" s="19" t="str">
        <f t="shared" si="9"/>
        <v/>
      </c>
      <c r="R36" s="19" t="str">
        <f t="shared" si="10"/>
        <v/>
      </c>
      <c r="S36" s="25" t="str">
        <f t="shared" si="11"/>
        <v/>
      </c>
      <c r="T36" s="20" t="str">
        <f t="shared" si="12"/>
        <v/>
      </c>
      <c r="U36" s="19" t="str">
        <f t="shared" si="13"/>
        <v/>
      </c>
      <c r="V36" s="5"/>
      <c r="W36" s="5"/>
    </row>
    <row r="37" ht="1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19" t="str">
        <f t="shared" si="7"/>
        <v/>
      </c>
      <c r="M37" s="5"/>
      <c r="N37" s="5"/>
      <c r="O37" s="5"/>
      <c r="P37" s="19" t="str">
        <f t="shared" si="8"/>
        <v/>
      </c>
      <c r="Q37" s="19" t="str">
        <f t="shared" si="9"/>
        <v/>
      </c>
      <c r="R37" s="19" t="str">
        <f t="shared" si="10"/>
        <v/>
      </c>
      <c r="S37" s="25" t="str">
        <f t="shared" si="11"/>
        <v/>
      </c>
      <c r="T37" s="20" t="str">
        <f t="shared" si="12"/>
        <v/>
      </c>
      <c r="U37" s="19" t="str">
        <f t="shared" si="13"/>
        <v/>
      </c>
      <c r="V37" s="5"/>
      <c r="W37" s="5"/>
    </row>
    <row r="38" ht="1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19" t="str">
        <f t="shared" si="7"/>
        <v/>
      </c>
      <c r="M38" s="5"/>
      <c r="N38" s="5"/>
      <c r="O38" s="5"/>
      <c r="P38" s="19" t="str">
        <f t="shared" si="8"/>
        <v/>
      </c>
      <c r="Q38" s="19" t="str">
        <f t="shared" si="9"/>
        <v/>
      </c>
      <c r="R38" s="19" t="str">
        <f t="shared" si="10"/>
        <v/>
      </c>
      <c r="S38" s="25" t="str">
        <f t="shared" si="11"/>
        <v/>
      </c>
      <c r="T38" s="20" t="str">
        <f t="shared" si="12"/>
        <v/>
      </c>
      <c r="U38" s="19" t="str">
        <f t="shared" si="13"/>
        <v/>
      </c>
      <c r="V38" s="5"/>
      <c r="W38" s="5"/>
    </row>
    <row r="39" ht="1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19" t="str">
        <f t="shared" si="7"/>
        <v/>
      </c>
      <c r="M39" s="5"/>
      <c r="N39" s="5"/>
      <c r="O39" s="5"/>
      <c r="P39" s="19" t="str">
        <f t="shared" si="8"/>
        <v/>
      </c>
      <c r="Q39" s="19" t="str">
        <f t="shared" si="9"/>
        <v/>
      </c>
      <c r="R39" s="19" t="str">
        <f t="shared" si="10"/>
        <v/>
      </c>
      <c r="S39" s="25" t="str">
        <f t="shared" si="11"/>
        <v/>
      </c>
      <c r="T39" s="20" t="str">
        <f t="shared" si="12"/>
        <v/>
      </c>
      <c r="U39" s="19" t="str">
        <f t="shared" si="13"/>
        <v/>
      </c>
      <c r="V39" s="5"/>
      <c r="W39" s="5"/>
    </row>
    <row r="40" ht="1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19" t="str">
        <f t="shared" si="7"/>
        <v/>
      </c>
      <c r="M40" s="5"/>
      <c r="N40" s="5"/>
      <c r="O40" s="5"/>
      <c r="P40" s="19" t="str">
        <f t="shared" si="8"/>
        <v/>
      </c>
      <c r="Q40" s="19" t="str">
        <f t="shared" si="9"/>
        <v/>
      </c>
      <c r="R40" s="19" t="str">
        <f t="shared" si="10"/>
        <v/>
      </c>
      <c r="S40" s="25" t="str">
        <f t="shared" si="11"/>
        <v/>
      </c>
      <c r="T40" s="20" t="str">
        <f t="shared" si="12"/>
        <v/>
      </c>
      <c r="U40" s="19" t="str">
        <f t="shared" si="13"/>
        <v/>
      </c>
      <c r="V40" s="5"/>
      <c r="W40" s="5"/>
    </row>
    <row r="41" ht="1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19" t="str">
        <f t="shared" si="7"/>
        <v/>
      </c>
      <c r="M41" s="5"/>
      <c r="N41" s="5"/>
      <c r="O41" s="5"/>
      <c r="P41" s="19" t="str">
        <f t="shared" si="8"/>
        <v/>
      </c>
      <c r="Q41" s="19" t="str">
        <f t="shared" si="9"/>
        <v/>
      </c>
      <c r="R41" s="19" t="str">
        <f t="shared" si="10"/>
        <v/>
      </c>
      <c r="S41" s="25" t="str">
        <f t="shared" si="11"/>
        <v/>
      </c>
      <c r="T41" s="20" t="str">
        <f t="shared" si="12"/>
        <v/>
      </c>
      <c r="U41" s="19" t="str">
        <f t="shared" si="13"/>
        <v/>
      </c>
      <c r="V41" s="5"/>
      <c r="W41" s="5"/>
    </row>
    <row r="42" ht="1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19" t="str">
        <f t="shared" si="7"/>
        <v/>
      </c>
      <c r="M42" s="5"/>
      <c r="N42" s="5"/>
      <c r="O42" s="5"/>
      <c r="P42" s="19" t="str">
        <f t="shared" si="8"/>
        <v/>
      </c>
      <c r="Q42" s="19" t="str">
        <f t="shared" si="9"/>
        <v/>
      </c>
      <c r="R42" s="19" t="str">
        <f t="shared" si="10"/>
        <v/>
      </c>
      <c r="S42" s="25" t="str">
        <f t="shared" si="11"/>
        <v/>
      </c>
      <c r="T42" s="20" t="str">
        <f t="shared" si="12"/>
        <v/>
      </c>
      <c r="U42" s="19" t="str">
        <f t="shared" si="13"/>
        <v/>
      </c>
      <c r="V42" s="5"/>
      <c r="W42" s="5"/>
    </row>
    <row r="43" ht="1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19" t="str">
        <f t="shared" si="7"/>
        <v/>
      </c>
      <c r="M43" s="5"/>
      <c r="N43" s="5"/>
      <c r="O43" s="5"/>
      <c r="P43" s="19" t="str">
        <f t="shared" si="8"/>
        <v/>
      </c>
      <c r="Q43" s="19" t="str">
        <f t="shared" si="9"/>
        <v/>
      </c>
      <c r="R43" s="19" t="str">
        <f t="shared" si="10"/>
        <v/>
      </c>
      <c r="S43" s="25" t="str">
        <f t="shared" si="11"/>
        <v/>
      </c>
      <c r="T43" s="20" t="str">
        <f t="shared" si="12"/>
        <v/>
      </c>
      <c r="U43" s="19" t="str">
        <f t="shared" si="13"/>
        <v/>
      </c>
      <c r="V43" s="5"/>
      <c r="W43" s="5"/>
    </row>
    <row r="44" ht="1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19" t="str">
        <f t="shared" si="7"/>
        <v/>
      </c>
      <c r="M44" s="5"/>
      <c r="N44" s="5"/>
      <c r="O44" s="5"/>
      <c r="P44" s="19" t="str">
        <f t="shared" si="8"/>
        <v/>
      </c>
      <c r="Q44" s="19" t="str">
        <f t="shared" si="9"/>
        <v/>
      </c>
      <c r="R44" s="19" t="str">
        <f t="shared" si="10"/>
        <v/>
      </c>
      <c r="S44" s="25" t="str">
        <f t="shared" si="11"/>
        <v/>
      </c>
      <c r="T44" s="20" t="str">
        <f t="shared" si="12"/>
        <v/>
      </c>
      <c r="U44" s="19" t="str">
        <f t="shared" si="13"/>
        <v/>
      </c>
      <c r="V44" s="5"/>
      <c r="W44" s="5"/>
    </row>
    <row r="45" ht="1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19" t="str">
        <f t="shared" si="7"/>
        <v/>
      </c>
      <c r="M45" s="5"/>
      <c r="N45" s="5"/>
      <c r="O45" s="5"/>
      <c r="P45" s="19" t="str">
        <f t="shared" si="8"/>
        <v/>
      </c>
      <c r="Q45" s="19" t="str">
        <f t="shared" si="9"/>
        <v/>
      </c>
      <c r="R45" s="19" t="str">
        <f t="shared" si="10"/>
        <v/>
      </c>
      <c r="S45" s="25" t="str">
        <f t="shared" si="11"/>
        <v/>
      </c>
      <c r="T45" s="20" t="str">
        <f t="shared" si="12"/>
        <v/>
      </c>
      <c r="U45" s="19" t="str">
        <f t="shared" si="13"/>
        <v/>
      </c>
      <c r="V45" s="5"/>
      <c r="W45" s="5"/>
    </row>
    <row r="46" ht="1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19" t="str">
        <f t="shared" si="7"/>
        <v/>
      </c>
      <c r="M46" s="5"/>
      <c r="N46" s="5"/>
      <c r="O46" s="5"/>
      <c r="P46" s="19" t="str">
        <f t="shared" si="8"/>
        <v/>
      </c>
      <c r="Q46" s="19" t="str">
        <f t="shared" si="9"/>
        <v/>
      </c>
      <c r="R46" s="19" t="str">
        <f t="shared" si="10"/>
        <v/>
      </c>
      <c r="S46" s="25" t="str">
        <f t="shared" si="11"/>
        <v/>
      </c>
      <c r="T46" s="20" t="str">
        <f t="shared" si="12"/>
        <v/>
      </c>
      <c r="U46" s="19" t="str">
        <f t="shared" si="13"/>
        <v/>
      </c>
      <c r="V46" s="5"/>
      <c r="W46" s="5"/>
    </row>
    <row r="47" ht="1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19" t="str">
        <f t="shared" si="7"/>
        <v/>
      </c>
      <c r="M47" s="5"/>
      <c r="N47" s="5"/>
      <c r="O47" s="5"/>
      <c r="P47" s="19" t="str">
        <f t="shared" si="8"/>
        <v/>
      </c>
      <c r="Q47" s="19" t="str">
        <f t="shared" si="9"/>
        <v/>
      </c>
      <c r="R47" s="19" t="str">
        <f t="shared" si="10"/>
        <v/>
      </c>
      <c r="S47" s="25" t="str">
        <f t="shared" si="11"/>
        <v/>
      </c>
      <c r="T47" s="20" t="str">
        <f t="shared" si="12"/>
        <v/>
      </c>
      <c r="U47" s="19" t="str">
        <f t="shared" si="13"/>
        <v/>
      </c>
      <c r="V47" s="5"/>
      <c r="W47" s="5"/>
    </row>
    <row r="48" ht="1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19" t="str">
        <f t="shared" si="7"/>
        <v/>
      </c>
      <c r="M48" s="5"/>
      <c r="N48" s="5"/>
      <c r="O48" s="5"/>
      <c r="P48" s="19" t="str">
        <f t="shared" si="8"/>
        <v/>
      </c>
      <c r="Q48" s="19" t="str">
        <f t="shared" si="9"/>
        <v/>
      </c>
      <c r="R48" s="19" t="str">
        <f t="shared" si="10"/>
        <v/>
      </c>
      <c r="S48" s="25" t="str">
        <f t="shared" si="11"/>
        <v/>
      </c>
      <c r="T48" s="20" t="str">
        <f t="shared" si="12"/>
        <v/>
      </c>
      <c r="U48" s="19" t="str">
        <f t="shared" si="13"/>
        <v/>
      </c>
      <c r="V48" s="5"/>
      <c r="W48" s="5"/>
    </row>
    <row r="49" ht="1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19" t="str">
        <f t="shared" si="7"/>
        <v/>
      </c>
      <c r="M49" s="5"/>
      <c r="N49" s="5"/>
      <c r="O49" s="5"/>
      <c r="P49" s="19" t="str">
        <f t="shared" si="8"/>
        <v/>
      </c>
      <c r="Q49" s="19" t="str">
        <f t="shared" si="9"/>
        <v/>
      </c>
      <c r="R49" s="19" t="str">
        <f t="shared" si="10"/>
        <v/>
      </c>
      <c r="S49" s="25" t="str">
        <f t="shared" si="11"/>
        <v/>
      </c>
      <c r="T49" s="20" t="str">
        <f t="shared" si="12"/>
        <v/>
      </c>
      <c r="U49" s="19" t="str">
        <f t="shared" si="13"/>
        <v/>
      </c>
      <c r="V49" s="5"/>
      <c r="W49" s="5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19" t="str">
        <f t="shared" si="7"/>
        <v/>
      </c>
      <c r="M50" s="5"/>
      <c r="N50" s="5"/>
      <c r="O50" s="5"/>
      <c r="P50" s="19" t="str">
        <f t="shared" si="8"/>
        <v/>
      </c>
      <c r="Q50" s="19" t="str">
        <f t="shared" si="9"/>
        <v/>
      </c>
      <c r="R50" s="19" t="str">
        <f t="shared" si="10"/>
        <v/>
      </c>
      <c r="S50" s="25" t="str">
        <f t="shared" si="11"/>
        <v/>
      </c>
      <c r="T50" s="20" t="str">
        <f t="shared" si="12"/>
        <v/>
      </c>
      <c r="U50" s="19" t="str">
        <f t="shared" si="13"/>
        <v/>
      </c>
      <c r="V50" s="5"/>
      <c r="W50" s="5"/>
    </row>
    <row r="52" ht="13.5" customHeight="1">
      <c r="A52" s="29" t="s">
        <v>122</v>
      </c>
    </row>
    <row r="53" ht="13.5" customHeight="1">
      <c r="A53" s="29" t="s">
        <v>123</v>
      </c>
    </row>
    <row r="54" ht="13.5" customHeight="1">
      <c r="A54" s="29" t="s">
        <v>124</v>
      </c>
    </row>
    <row r="55" ht="13.5" customHeight="1">
      <c r="A55" s="29" t="s">
        <v>125</v>
      </c>
    </row>
    <row r="56" ht="13.5" customHeight="1">
      <c r="A56" s="29" t="s">
        <v>126</v>
      </c>
    </row>
  </sheetData>
  <sheetProtection autoFilter="1" sort="1"/>
  <autoFilter ref="A1:W50"/>
  <mergeCells>
    <mergeCell ref="A56:H56"/>
    <mergeCell ref="A53:H53"/>
    <mergeCell ref="A55:H55"/>
    <mergeCell ref="A54:H54"/>
    <mergeCell ref="A52:H52"/>
  </mergeCells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6AB2A2B-B698-BBD8-5AC4-EE472F0CEDE8}" mc:Ignorable="x14ac xr xr2 xr3">
  <dimension ref="A1:AZ50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5.7109375" customWidth="1"/>
    <col min="2" max="2" width="11.421875" customWidth="1"/>
    <col min="3" max="3" width="19.421875" customWidth="1"/>
    <col min="4" max="4" width="13.7109375" customWidth="1"/>
    <col min="5" max="5" width="22.140625" customWidth="1"/>
    <col min="6" max="6" width="24.140625" customWidth="1"/>
    <col min="7" max="7" width="15.140625" customWidth="1"/>
    <col min="8" max="8" width="23.140625" customWidth="1"/>
    <col min="9" max="9" width="13.57421875" customWidth="1"/>
    <col min="10" max="10" width="25.57421875" customWidth="1"/>
    <col min="11" max="11" width="24.140625" customWidth="1"/>
    <col min="12" max="12" width="26.7109375" customWidth="1"/>
    <col min="13" max="13" width="24.57421875" customWidth="1"/>
    <col min="14" max="14" width="26.140625" customWidth="1"/>
    <col min="15" max="15" width="22.57421875" customWidth="1"/>
    <col min="16" max="16" width="12.57421875" customWidth="1"/>
    <col min="17" max="17" width="23.7109375" customWidth="1"/>
    <col min="18" max="18" width="16.28125" customWidth="1"/>
    <col min="19" max="19" width="20.00390625" customWidth="1"/>
  </cols>
  <sheetData>
    <row r="1" ht="15.75" customHeight="1" s="1" customFormat="1">
      <c r="A1" s="22" t="s">
        <v>127</v>
      </c>
      <c r="B1" s="22" t="s">
        <v>51</v>
      </c>
      <c r="C1" s="22" t="s">
        <v>128</v>
      </c>
      <c r="D1" s="22" t="s">
        <v>81</v>
      </c>
      <c r="E1" s="22" t="s">
        <v>129</v>
      </c>
      <c r="F1" s="22" t="s">
        <v>130</v>
      </c>
      <c r="G1" s="22" t="s">
        <v>131</v>
      </c>
      <c r="H1" s="22" t="s">
        <v>132</v>
      </c>
      <c r="I1" s="22" t="s">
        <v>133</v>
      </c>
      <c r="J1" s="22" t="s">
        <v>134</v>
      </c>
      <c r="K1" s="22" t="s">
        <v>135</v>
      </c>
      <c r="L1" s="22" t="s">
        <v>136</v>
      </c>
      <c r="M1" s="22" t="s">
        <v>137</v>
      </c>
      <c r="N1" s="22" t="s">
        <v>138</v>
      </c>
      <c r="O1" s="22" t="s">
        <v>139</v>
      </c>
      <c r="P1" s="22" t="s">
        <v>140</v>
      </c>
      <c r="Q1" s="22" t="s">
        <v>141</v>
      </c>
      <c r="R1" s="22" t="s">
        <v>142</v>
      </c>
      <c r="S1" s="22" t="s">
        <v>95</v>
      </c>
    </row>
    <row r="2" ht="15.75" customHeight="1">
      <c r="A2" s="5" t="s">
        <v>143</v>
      </c>
      <c r="B2" s="5" t="s">
        <v>56</v>
      </c>
      <c r="C2" s="5" t="s">
        <v>97</v>
      </c>
      <c r="D2" s="5" t="s">
        <v>98</v>
      </c>
      <c r="E2" s="5" t="s">
        <v>144</v>
      </c>
      <c r="F2" s="5" t="s">
        <v>145</v>
      </c>
      <c r="G2" s="5" t="s">
        <v>146</v>
      </c>
      <c r="H2" s="5" t="s">
        <v>147</v>
      </c>
      <c r="I2" s="5" t="s">
        <v>148</v>
      </c>
      <c r="J2" s="5" t="s">
        <v>149</v>
      </c>
      <c r="K2" s="5" t="s">
        <v>150</v>
      </c>
      <c r="L2" s="5" t="s">
        <v>100</v>
      </c>
      <c r="M2" s="5" t="s">
        <v>148</v>
      </c>
      <c r="N2" s="5" t="s">
        <v>151</v>
      </c>
      <c r="O2" s="5">
        <v>1.5</v>
      </c>
      <c r="P2" s="5" t="s">
        <v>152</v>
      </c>
      <c r="Q2" s="23">
        <v>46204</v>
      </c>
      <c r="R2" s="26" t="s">
        <v>71</v>
      </c>
      <c r="S2" s="5" t="s">
        <v>153</v>
      </c>
    </row>
    <row r="3" ht="15.75" customHeight="1">
      <c r="A3" s="5" t="s">
        <v>154</v>
      </c>
      <c r="B3" s="5" t="s">
        <v>57</v>
      </c>
      <c r="C3" s="5" t="s">
        <v>109</v>
      </c>
      <c r="D3" s="5" t="s">
        <v>110</v>
      </c>
      <c r="E3" s="5" t="s">
        <v>155</v>
      </c>
      <c r="F3" s="5" t="s">
        <v>156</v>
      </c>
      <c r="G3" s="5" t="s">
        <v>157</v>
      </c>
      <c r="H3" s="5" t="s">
        <v>158</v>
      </c>
      <c r="I3" s="5" t="s">
        <v>148</v>
      </c>
      <c r="J3" s="5" t="s">
        <v>149</v>
      </c>
      <c r="K3" s="5" t="s">
        <v>159</v>
      </c>
      <c r="L3" s="5" t="s">
        <v>100</v>
      </c>
      <c r="M3" s="5" t="s">
        <v>148</v>
      </c>
      <c r="N3" s="5" t="s">
        <v>160</v>
      </c>
      <c r="O3" s="5">
        <v>1.1</v>
      </c>
      <c r="P3" s="5" t="s">
        <v>161</v>
      </c>
      <c r="Q3" s="23">
        <v>46213</v>
      </c>
      <c r="R3" s="27" t="s">
        <v>73</v>
      </c>
      <c r="S3" s="5" t="s">
        <v>162</v>
      </c>
    </row>
    <row r="4" ht="15.75" customHeight="1">
      <c r="A4" s="5" t="s">
        <v>163</v>
      </c>
      <c r="B4" s="5" t="s">
        <v>58</v>
      </c>
      <c r="C4" s="5" t="s">
        <v>164</v>
      </c>
      <c r="D4" s="5" t="s">
        <v>104</v>
      </c>
      <c r="E4" s="5" t="s">
        <v>105</v>
      </c>
      <c r="F4" s="5" t="s">
        <v>165</v>
      </c>
      <c r="G4" s="5" t="s">
        <v>166</v>
      </c>
      <c r="H4" s="5" t="s">
        <v>158</v>
      </c>
      <c r="I4" s="5" t="s">
        <v>167</v>
      </c>
      <c r="J4" s="5" t="s">
        <v>167</v>
      </c>
      <c r="K4" s="5" t="s">
        <v>168</v>
      </c>
      <c r="L4" s="5" t="s">
        <v>106</v>
      </c>
      <c r="M4" s="5" t="s">
        <v>148</v>
      </c>
      <c r="N4" s="5" t="s">
        <v>169</v>
      </c>
      <c r="O4" s="5">
        <v>0.6</v>
      </c>
      <c r="P4" s="5" t="s">
        <v>152</v>
      </c>
      <c r="Q4" s="23">
        <v>46208</v>
      </c>
      <c r="R4" s="27" t="s">
        <v>73</v>
      </c>
      <c r="S4" s="5" t="s">
        <v>170</v>
      </c>
    </row>
    <row r="5" ht="15.75" customHeight="1">
      <c r="A5" s="5" t="s">
        <v>171</v>
      </c>
      <c r="B5" s="5" t="s">
        <v>59</v>
      </c>
      <c r="C5" s="5" t="s">
        <v>117</v>
      </c>
      <c r="D5" s="5" t="s">
        <v>118</v>
      </c>
      <c r="E5" s="5" t="s">
        <v>105</v>
      </c>
      <c r="F5" s="5" t="s">
        <v>172</v>
      </c>
      <c r="G5" s="5" t="s">
        <v>173</v>
      </c>
      <c r="H5" s="5" t="s">
        <v>158</v>
      </c>
      <c r="I5" s="5" t="s">
        <v>174</v>
      </c>
      <c r="J5" s="5" t="s">
        <v>175</v>
      </c>
      <c r="K5" s="5" t="s">
        <v>64</v>
      </c>
      <c r="L5" s="5" t="s">
        <v>176</v>
      </c>
      <c r="M5" s="5" t="s">
        <v>148</v>
      </c>
      <c r="N5" s="5" t="s">
        <v>177</v>
      </c>
      <c r="O5" s="5">
        <v>2</v>
      </c>
      <c r="P5" s="5" t="s">
        <v>152</v>
      </c>
      <c r="Q5" s="23">
        <v>46215</v>
      </c>
      <c r="R5" s="26" t="s">
        <v>71</v>
      </c>
      <c r="S5" s="5" t="s">
        <v>178</v>
      </c>
    </row>
    <row r="6" ht="1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ht="1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1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1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ht="1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</sheetData>
  <sheetProtection autoFilter="1" sort="1"/>
  <autoFilter ref="A1:S30"/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DB17658-46B8-5251-AEA3-74A57659BD28}" mc:Ignorable="x14ac xr xr2 xr3">
  <dimension ref="A1:AZ50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33.140625" customWidth="1"/>
    <col min="2" max="2" width="28.7109375" customWidth="1"/>
    <col min="3" max="3" width="12.8515625" customWidth="1"/>
    <col min="4" max="4" width="14.28125" customWidth="1"/>
    <col min="5" max="5" width="10.00390625" customWidth="1"/>
    <col min="6" max="6" width="4.57421875" customWidth="1"/>
    <col min="7" max="7" width="16.00390625" customWidth="1"/>
    <col min="8" max="8" width="21.421875" customWidth="1"/>
    <col min="9" max="9" width="23.8515625" customWidth="1"/>
    <col min="10" max="10" width="22.28125" customWidth="1"/>
    <col min="11" max="11" width="22.7109375" customWidth="1"/>
    <col min="12" max="12" width="31.28125" customWidth="1"/>
    <col min="13" max="13" width="8.7109375" customWidth="1"/>
    <col min="14" max="14" width="10.421875" customWidth="1"/>
    <col min="15" max="15" width="14.57421875" customWidth="1"/>
    <col min="16" max="16" width="14.00390625" customWidth="1"/>
    <col min="17" max="17" width="17.140625" customWidth="1"/>
  </cols>
  <sheetData>
    <row r="1" ht="15.75" customHeight="1" s="1" customFormat="1">
      <c r="A1" s="22" t="s">
        <v>79</v>
      </c>
      <c r="B1" s="22" t="s">
        <v>179</v>
      </c>
      <c r="C1" s="22" t="s">
        <v>180</v>
      </c>
      <c r="D1" s="22" t="s">
        <v>181</v>
      </c>
      <c r="E1" s="22" t="s">
        <v>127</v>
      </c>
      <c r="F1" s="22" t="s">
        <v>82</v>
      </c>
      <c r="G1" s="22" t="s">
        <v>182</v>
      </c>
      <c r="H1" s="22" t="s">
        <v>183</v>
      </c>
      <c r="I1" s="22" t="s">
        <v>184</v>
      </c>
      <c r="J1" s="22" t="s">
        <v>185</v>
      </c>
      <c r="K1" s="22" t="s">
        <v>186</v>
      </c>
      <c r="L1" s="22" t="s">
        <v>187</v>
      </c>
      <c r="M1" s="22" t="s">
        <v>140</v>
      </c>
      <c r="N1" s="22" t="s">
        <v>188</v>
      </c>
      <c r="O1" s="22" t="s">
        <v>189</v>
      </c>
      <c r="P1" s="22" t="s">
        <v>190</v>
      </c>
      <c r="Q1" s="22" t="s">
        <v>95</v>
      </c>
    </row>
    <row r="2" ht="15.75" customHeight="1">
      <c r="A2" s="5" t="s">
        <v>96</v>
      </c>
      <c r="B2" s="5" t="s">
        <v>191</v>
      </c>
      <c r="C2" s="5" t="s">
        <v>64</v>
      </c>
      <c r="D2" s="5" t="s">
        <v>56</v>
      </c>
      <c r="E2" s="5" t="s">
        <v>143</v>
      </c>
      <c r="F2" s="5" t="s">
        <v>99</v>
      </c>
      <c r="G2" s="19">
        <v>50</v>
      </c>
      <c r="H2" s="5" t="s">
        <v>192</v>
      </c>
      <c r="I2" s="5" t="s">
        <v>193</v>
      </c>
      <c r="J2" s="19">
        <v>60</v>
      </c>
      <c r="K2" s="5" t="s">
        <v>194</v>
      </c>
      <c r="L2" s="5" t="s">
        <v>195</v>
      </c>
      <c r="M2" s="5" t="s">
        <v>152</v>
      </c>
      <c r="N2" s="5" t="s">
        <v>196</v>
      </c>
      <c r="O2" s="5" t="s">
        <v>148</v>
      </c>
      <c r="P2" s="23">
        <v>46211</v>
      </c>
      <c r="Q2" s="5" t="s">
        <v>197</v>
      </c>
    </row>
    <row r="3" ht="15.75" customHeight="1">
      <c r="A3" s="5" t="s">
        <v>102</v>
      </c>
      <c r="B3" s="5" t="s">
        <v>198</v>
      </c>
      <c r="C3" s="5" t="s">
        <v>65</v>
      </c>
      <c r="D3" s="5" t="s">
        <v>58</v>
      </c>
      <c r="E3" s="5" t="s">
        <v>163</v>
      </c>
      <c r="F3" s="5" t="s">
        <v>105</v>
      </c>
      <c r="G3" s="19">
        <v>40</v>
      </c>
      <c r="H3" s="5" t="s">
        <v>199</v>
      </c>
      <c r="I3" s="5" t="s">
        <v>200</v>
      </c>
      <c r="J3" s="19">
        <v>8</v>
      </c>
      <c r="K3" s="5" t="s">
        <v>201</v>
      </c>
      <c r="L3" s="5" t="s">
        <v>202</v>
      </c>
      <c r="M3" s="5" t="s">
        <v>152</v>
      </c>
      <c r="N3" s="5" t="s">
        <v>158</v>
      </c>
      <c r="O3" s="5" t="s">
        <v>148</v>
      </c>
      <c r="P3" s="23">
        <v>46212</v>
      </c>
      <c r="Q3" s="5" t="s">
        <v>203</v>
      </c>
    </row>
    <row r="4" ht="15.75" customHeight="1">
      <c r="A4" s="5" t="s">
        <v>108</v>
      </c>
      <c r="B4" s="5" t="s">
        <v>204</v>
      </c>
      <c r="C4" s="5" t="s">
        <v>66</v>
      </c>
      <c r="D4" s="5" t="s">
        <v>57</v>
      </c>
      <c r="E4" s="5" t="s">
        <v>154</v>
      </c>
      <c r="F4" s="5" t="s">
        <v>99</v>
      </c>
      <c r="G4" s="19">
        <v>30</v>
      </c>
      <c r="H4" s="5" t="s">
        <v>205</v>
      </c>
      <c r="I4" s="5" t="s">
        <v>206</v>
      </c>
      <c r="J4" s="19">
        <v>55</v>
      </c>
      <c r="K4" s="5" t="s">
        <v>207</v>
      </c>
      <c r="L4" s="5" t="s">
        <v>208</v>
      </c>
      <c r="M4" s="5" t="s">
        <v>209</v>
      </c>
      <c r="N4" s="5" t="s">
        <v>158</v>
      </c>
      <c r="O4" s="5" t="s">
        <v>148</v>
      </c>
      <c r="P4" s="23">
        <v>46214</v>
      </c>
      <c r="Q4" s="5" t="s">
        <v>210</v>
      </c>
    </row>
    <row r="5" ht="1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ht="1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ht="1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</sheetData>
  <sheetProtection autoFilter="1" sort="1"/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BCA0BF5-BC0D-68F9-B80E-E4C0B77DDA92}" mc:Ignorable="x14ac xr xr2 xr3">
  <dimension ref="A1:AZ50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9.00390625" customWidth="1"/>
    <col min="2" max="2" width="11.7109375" customWidth="1"/>
    <col min="3" max="3" width="11.421875" customWidth="1"/>
    <col min="4" max="4" width="33.140625" customWidth="1"/>
    <col min="5" max="5" width="10.00390625" customWidth="1"/>
    <col min="6" max="6" width="15.8515625" customWidth="1"/>
    <col min="7" max="7" width="42.140625" customWidth="1"/>
    <col min="8" max="8" width="18.00390625" customWidth="1"/>
    <col min="9" max="9" width="17.57421875" customWidth="1"/>
    <col min="10" max="10" width="12.00390625" customWidth="1"/>
    <col min="11" max="11" width="5.7109375" customWidth="1"/>
    <col min="12" max="12" width="10.140625" customWidth="1"/>
    <col min="13" max="13" width="7.7109375" customWidth="1"/>
    <col min="14" max="14" width="12.28125" customWidth="1"/>
    <col min="15" max="15" width="16.8515625" customWidth="1"/>
    <col min="16" max="16" width="10.57421875" customWidth="1"/>
    <col min="17" max="17" width="17.7109375" customWidth="1"/>
    <col min="18" max="18" width="35.140625" customWidth="1"/>
  </cols>
  <sheetData>
    <row r="1" ht="15.75" customHeight="1" s="1" customFormat="1">
      <c r="A1" s="22" t="s">
        <v>211</v>
      </c>
      <c r="B1" s="22" t="s">
        <v>212</v>
      </c>
      <c r="C1" s="22" t="s">
        <v>213</v>
      </c>
      <c r="D1" s="22" t="s">
        <v>79</v>
      </c>
      <c r="E1" s="22" t="s">
        <v>51</v>
      </c>
      <c r="F1" s="22" t="s">
        <v>80</v>
      </c>
      <c r="G1" s="22" t="s">
        <v>214</v>
      </c>
      <c r="H1" s="22" t="s">
        <v>215</v>
      </c>
      <c r="I1" s="22" t="s">
        <v>216</v>
      </c>
      <c r="J1" s="22" t="s">
        <v>217</v>
      </c>
      <c r="K1" s="22" t="s">
        <v>218</v>
      </c>
      <c r="L1" s="22" t="s">
        <v>53</v>
      </c>
      <c r="M1" s="22" t="s">
        <v>91</v>
      </c>
      <c r="N1" s="22" t="s">
        <v>219</v>
      </c>
      <c r="O1" s="22" t="s">
        <v>139</v>
      </c>
      <c r="P1" s="22" t="s">
        <v>142</v>
      </c>
      <c r="Q1" s="22" t="s">
        <v>220</v>
      </c>
      <c r="R1" s="22" t="s">
        <v>221</v>
      </c>
    </row>
    <row r="2" ht="15.75" customHeight="1">
      <c r="A2" s="5" t="s">
        <v>222</v>
      </c>
      <c r="B2" s="23">
        <v>46213</v>
      </c>
      <c r="C2" s="23">
        <v>46215</v>
      </c>
      <c r="D2" s="5" t="s">
        <v>96</v>
      </c>
      <c r="E2" s="5" t="s">
        <v>56</v>
      </c>
      <c r="F2" s="5" t="s">
        <v>97</v>
      </c>
      <c r="G2" s="5" t="s">
        <v>223</v>
      </c>
      <c r="H2" s="19">
        <v>80</v>
      </c>
      <c r="I2" s="5">
        <v>80</v>
      </c>
      <c r="J2" s="19">
        <v>102</v>
      </c>
      <c r="K2" s="5">
        <v>3</v>
      </c>
      <c r="L2" s="19">
        <v>180</v>
      </c>
      <c r="M2" s="19">
        <f t="shared" si="0" ref="M2:M4">IF(J2=0,"",L2*N2/J2)</f>
        <v>2.11764705882353</v>
      </c>
      <c r="N2" s="19">
        <v>1.2</v>
      </c>
      <c r="O2" s="19">
        <v>1.5</v>
      </c>
      <c r="P2" s="26" t="s">
        <v>71</v>
      </c>
      <c r="Q2" s="5" t="s">
        <v>224</v>
      </c>
      <c r="R2" s="5" t="s">
        <v>225</v>
      </c>
    </row>
    <row r="3" ht="15.75" customHeight="1">
      <c r="A3" s="5" t="s">
        <v>226</v>
      </c>
      <c r="B3" s="23">
        <v>46214</v>
      </c>
      <c r="C3" s="23">
        <v>46216</v>
      </c>
      <c r="D3" s="5" t="s">
        <v>112</v>
      </c>
      <c r="E3" s="5" t="s">
        <v>56</v>
      </c>
      <c r="F3" s="5" t="s">
        <v>113</v>
      </c>
      <c r="G3" s="5" t="s">
        <v>227</v>
      </c>
      <c r="H3" s="19">
        <v>60</v>
      </c>
      <c r="I3" s="5">
        <v>50</v>
      </c>
      <c r="J3" s="19">
        <v>84</v>
      </c>
      <c r="K3" s="5">
        <v>0</v>
      </c>
      <c r="L3" s="19">
        <v>0</v>
      </c>
      <c r="M3" s="19">
        <f t="shared" si="0"/>
        <v>0</v>
      </c>
      <c r="N3" s="19">
        <v>2.1</v>
      </c>
      <c r="O3" s="19">
        <v>1.8</v>
      </c>
      <c r="P3" s="28" t="s">
        <v>75</v>
      </c>
      <c r="Q3" s="5" t="s">
        <v>228</v>
      </c>
      <c r="R3" s="5" t="s">
        <v>229</v>
      </c>
    </row>
    <row r="4" ht="15.75" customHeight="1">
      <c r="A4" s="5" t="s">
        <v>230</v>
      </c>
      <c r="B4" s="23">
        <v>46214</v>
      </c>
      <c r="C4" s="23">
        <v>46217</v>
      </c>
      <c r="D4" s="5" t="s">
        <v>102</v>
      </c>
      <c r="E4" s="5" t="s">
        <v>58</v>
      </c>
      <c r="F4" s="5" t="s">
        <v>103</v>
      </c>
      <c r="G4" s="5" t="s">
        <v>231</v>
      </c>
      <c r="H4" s="19">
        <v>50</v>
      </c>
      <c r="I4" s="5">
        <v>150</v>
      </c>
      <c r="J4" s="19">
        <v>99</v>
      </c>
      <c r="K4" s="5">
        <v>12</v>
      </c>
      <c r="L4" s="19">
        <v>96</v>
      </c>
      <c r="M4" s="19">
        <f t="shared" si="0"/>
        <v>0.436363636363636</v>
      </c>
      <c r="N4" s="19">
        <v>0.45</v>
      </c>
      <c r="O4" s="19">
        <v>0.6</v>
      </c>
      <c r="P4" s="27" t="s">
        <v>73</v>
      </c>
      <c r="Q4" s="5" t="s">
        <v>232</v>
      </c>
      <c r="R4" s="5" t="s">
        <v>233</v>
      </c>
    </row>
    <row r="5" ht="1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19" t="str">
        <f t="shared" si="1" ref="M5:M24">IF(OR(J5="",J5=0,N5=""),"",L5*N5/J5)</f>
        <v/>
      </c>
      <c r="N5" s="5"/>
      <c r="O5" s="5"/>
      <c r="P5" s="5"/>
      <c r="Q5" s="5"/>
      <c r="R5" s="5"/>
    </row>
    <row r="6" ht="1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19" t="str">
        <f t="shared" si="1"/>
        <v/>
      </c>
      <c r="N6" s="5"/>
      <c r="O6" s="5"/>
      <c r="P6" s="5"/>
      <c r="Q6" s="5"/>
      <c r="R6" s="5"/>
    </row>
    <row r="7" ht="1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19" t="str">
        <f t="shared" si="1"/>
        <v/>
      </c>
      <c r="N7" s="5"/>
      <c r="O7" s="5"/>
      <c r="P7" s="5"/>
      <c r="Q7" s="5"/>
      <c r="R7" s="5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9" t="str">
        <f t="shared" si="1"/>
        <v/>
      </c>
      <c r="N8" s="5"/>
      <c r="O8" s="5"/>
      <c r="P8" s="5"/>
      <c r="Q8" s="5"/>
      <c r="R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9" t="str">
        <f t="shared" si="1"/>
        <v/>
      </c>
      <c r="N9" s="5"/>
      <c r="O9" s="5"/>
      <c r="P9" s="5"/>
      <c r="Q9" s="5"/>
      <c r="R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19" t="str">
        <f t="shared" si="1"/>
        <v/>
      </c>
      <c r="N10" s="5"/>
      <c r="O10" s="5"/>
      <c r="P10" s="5"/>
      <c r="Q10" s="5"/>
      <c r="R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19" t="str">
        <f t="shared" si="1"/>
        <v/>
      </c>
      <c r="N11" s="5"/>
      <c r="O11" s="5"/>
      <c r="P11" s="5"/>
      <c r="Q11" s="5"/>
      <c r="R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19" t="str">
        <f t="shared" si="1"/>
        <v/>
      </c>
      <c r="N12" s="5"/>
      <c r="O12" s="5"/>
      <c r="P12" s="5"/>
      <c r="Q12" s="5"/>
      <c r="R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19" t="str">
        <f t="shared" si="1"/>
        <v/>
      </c>
      <c r="N13" s="5"/>
      <c r="O13" s="5"/>
      <c r="P13" s="5"/>
      <c r="Q13" s="5"/>
      <c r="R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19" t="str">
        <f t="shared" si="1"/>
        <v/>
      </c>
      <c r="N14" s="5"/>
      <c r="O14" s="5"/>
      <c r="P14" s="5"/>
      <c r="Q14" s="5"/>
      <c r="R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19" t="str">
        <f t="shared" si="1"/>
        <v/>
      </c>
      <c r="N15" s="5"/>
      <c r="O15" s="5"/>
      <c r="P15" s="5"/>
      <c r="Q15" s="5"/>
      <c r="R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19" t="str">
        <f t="shared" si="1"/>
        <v/>
      </c>
      <c r="N16" s="5"/>
      <c r="O16" s="5"/>
      <c r="P16" s="5"/>
      <c r="Q16" s="5"/>
      <c r="R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9" t="str">
        <f t="shared" si="1"/>
        <v/>
      </c>
      <c r="N17" s="5"/>
      <c r="O17" s="5"/>
      <c r="P17" s="5"/>
      <c r="Q17" s="5"/>
      <c r="R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9" t="str">
        <f t="shared" si="1"/>
        <v/>
      </c>
      <c r="N18" s="5"/>
      <c r="O18" s="5"/>
      <c r="P18" s="5"/>
      <c r="Q18" s="5"/>
      <c r="R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19" t="str">
        <f t="shared" si="1"/>
        <v/>
      </c>
      <c r="N19" s="5"/>
      <c r="O19" s="5"/>
      <c r="P19" s="5"/>
      <c r="Q19" s="5"/>
      <c r="R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19" t="str">
        <f t="shared" si="1"/>
        <v/>
      </c>
      <c r="N20" s="5"/>
      <c r="O20" s="5"/>
      <c r="P20" s="5"/>
      <c r="Q20" s="5"/>
      <c r="R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19" t="str">
        <f t="shared" si="1"/>
        <v/>
      </c>
      <c r="N21" s="5"/>
      <c r="O21" s="5"/>
      <c r="P21" s="5"/>
      <c r="Q21" s="5"/>
      <c r="R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19" t="str">
        <f t="shared" si="1"/>
        <v/>
      </c>
      <c r="N22" s="5"/>
      <c r="O22" s="5"/>
      <c r="P22" s="5"/>
      <c r="Q22" s="5"/>
      <c r="R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19" t="str">
        <f t="shared" si="1"/>
        <v/>
      </c>
      <c r="N23" s="5"/>
      <c r="O23" s="5"/>
      <c r="P23" s="5"/>
      <c r="Q23" s="5"/>
      <c r="R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19" t="str">
        <f t="shared" si="1"/>
        <v/>
      </c>
      <c r="N24" s="5"/>
      <c r="O24" s="5"/>
      <c r="P24" s="5"/>
      <c r="Q24" s="5"/>
      <c r="R24" s="5"/>
    </row>
    <row r="26" ht="13.5" customHeight="1">
      <c r="A26" s="29" t="s">
        <v>234</v>
      </c>
    </row>
  </sheetData>
  <sheetProtection autoFilter="1" sort="1"/>
  <mergeCells>
    <mergeCell ref="A26:R26"/>
  </mergeCells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6DF0943-4E98-0A37-250E-412E915DAF78}" mc:Ignorable="x14ac xr xr2 xr3">
  <dimension ref="A1:AZ50"/>
  <sheetViews>
    <sheetView topLeftCell="A1" workbookViewId="0">
      <selection activeCell="A1" sqref="A1"/>
    </sheetView>
  </sheetViews>
  <sheetFormatPr defaultRowHeight="15" defaultColWidth="9.140625" customHeight="1"/>
  <cols>
    <col min="1" max="1" width="71.421875" customWidth="1"/>
    <col min="2" max="2" width="9.421875" customWidth="1"/>
    <col min="3" max="3" width="30.140625" customWidth="1"/>
    <col min="4" max="5" width="7.421875" customWidth="1"/>
    <col min="6" max="6" width="6.8515625" customWidth="1"/>
    <col min="7" max="7" width="19.57421875" customWidth="1"/>
    <col min="8" max="8" width="4.57421875" customWidth="1"/>
  </cols>
  <sheetData>
    <row r="1" ht="19.5" customHeight="1" s="1" customFormat="1">
      <c r="A1" s="30" t="s">
        <v>235</v>
      </c>
    </row>
    <row r="3" ht="15.75" customHeight="1">
      <c r="A3" s="3" t="s">
        <v>236</v>
      </c>
      <c r="B3" s="3" t="s">
        <v>140</v>
      </c>
      <c r="C3" s="3" t="s">
        <v>237</v>
      </c>
      <c r="D3" s="3" t="s">
        <v>238</v>
      </c>
    </row>
    <row r="4" ht="15.75" customHeight="1">
      <c r="A4" s="5" t="s">
        <v>239</v>
      </c>
      <c r="B4" s="27" t="s">
        <v>240</v>
      </c>
      <c r="C4" s="5" t="s">
        <v>241</v>
      </c>
      <c r="D4" s="31"/>
    </row>
    <row r="5" ht="15.75" customHeight="1">
      <c r="A5" s="5" t="s">
        <v>242</v>
      </c>
      <c r="B5" s="27" t="s">
        <v>240</v>
      </c>
      <c r="C5" s="5" t="s">
        <v>243</v>
      </c>
      <c r="D5" s="31"/>
    </row>
    <row r="6" ht="15.75" customHeight="1">
      <c r="A6" s="5" t="s">
        <v>244</v>
      </c>
      <c r="B6" s="27" t="s">
        <v>240</v>
      </c>
      <c r="C6" s="5" t="s">
        <v>245</v>
      </c>
      <c r="D6" s="31"/>
    </row>
    <row r="7" ht="15.75" customHeight="1">
      <c r="A7" s="5" t="s">
        <v>246</v>
      </c>
      <c r="B7" s="27" t="s">
        <v>240</v>
      </c>
      <c r="C7" s="5" t="s">
        <v>247</v>
      </c>
      <c r="D7" s="31"/>
    </row>
    <row r="8" ht="15.75" customHeight="1">
      <c r="A8" s="5" t="s">
        <v>248</v>
      </c>
      <c r="B8" s="27" t="s">
        <v>240</v>
      </c>
      <c r="C8" s="5" t="s">
        <v>249</v>
      </c>
      <c r="D8" s="31"/>
    </row>
    <row r="9" ht="15.75" customHeight="1">
      <c r="A9" s="5" t="s">
        <v>250</v>
      </c>
      <c r="B9" s="27" t="s">
        <v>240</v>
      </c>
      <c r="C9" s="5" t="s">
        <v>251</v>
      </c>
      <c r="D9" s="31"/>
    </row>
    <row r="10" ht="15.75" customHeight="1">
      <c r="A10" s="5" t="s">
        <v>252</v>
      </c>
      <c r="B10" s="27" t="s">
        <v>240</v>
      </c>
      <c r="C10" s="5" t="s">
        <v>253</v>
      </c>
      <c r="D10" s="31"/>
    </row>
    <row r="11" ht="15.75" customHeight="1">
      <c r="A11" s="5" t="s">
        <v>254</v>
      </c>
      <c r="B11" s="27" t="s">
        <v>240</v>
      </c>
      <c r="C11" s="5" t="s">
        <v>255</v>
      </c>
      <c r="D11" s="31"/>
    </row>
    <row r="12" ht="15.75" customHeight="1">
      <c r="A12" s="5" t="s">
        <v>256</v>
      </c>
      <c r="B12" s="27" t="s">
        <v>240</v>
      </c>
      <c r="C12" s="5" t="s">
        <v>257</v>
      </c>
      <c r="D12" s="31"/>
    </row>
    <row r="13" ht="15.75" customHeight="1">
      <c r="A13" s="5" t="s">
        <v>258</v>
      </c>
      <c r="B13" s="27" t="s">
        <v>240</v>
      </c>
      <c r="C13" s="5" t="s">
        <v>259</v>
      </c>
      <c r="D13" s="31"/>
    </row>
    <row r="14" ht="15.75" customHeight="1">
      <c r="A14" s="5" t="s">
        <v>260</v>
      </c>
      <c r="B14" s="27" t="s">
        <v>240</v>
      </c>
      <c r="C14" s="5" t="s">
        <v>261</v>
      </c>
      <c r="D14" s="31"/>
    </row>
    <row r="15" ht="15.75" customHeight="1">
      <c r="A15" s="5" t="s">
        <v>262</v>
      </c>
      <c r="B15" s="27" t="s">
        <v>240</v>
      </c>
      <c r="C15" s="5" t="s">
        <v>263</v>
      </c>
      <c r="D15" s="31"/>
    </row>
    <row r="17" ht="17.25" customHeight="1">
      <c r="A17" s="6" t="s">
        <v>264</v>
      </c>
    </row>
    <row r="18" ht="15.75" customHeight="1">
      <c r="A18" s="3" t="s">
        <v>265</v>
      </c>
      <c r="B18" s="3" t="s">
        <v>266</v>
      </c>
      <c r="C18" s="3" t="s">
        <v>267</v>
      </c>
      <c r="D18" s="3" t="s">
        <v>268</v>
      </c>
      <c r="E18" s="3" t="s">
        <v>269</v>
      </c>
      <c r="F18" s="3" t="s">
        <v>140</v>
      </c>
      <c r="G18" s="3" t="s">
        <v>270</v>
      </c>
      <c r="H18" s="3" t="s">
        <v>271</v>
      </c>
    </row>
    <row r="19" ht="15" customHeight="1">
      <c r="A19" s="5"/>
      <c r="B19" s="5"/>
      <c r="C19" s="5"/>
      <c r="D19" s="5"/>
      <c r="E19" s="5"/>
      <c r="F19" s="5"/>
      <c r="G19" s="5"/>
      <c r="H19" s="5"/>
    </row>
    <row r="20" ht="15" customHeight="1">
      <c r="A20" s="5"/>
      <c r="B20" s="5"/>
      <c r="C20" s="5"/>
      <c r="D20" s="5"/>
      <c r="E20" s="5"/>
      <c r="F20" s="5"/>
      <c r="G20" s="5"/>
      <c r="H20" s="5"/>
    </row>
    <row r="21" ht="15" customHeight="1">
      <c r="A21" s="5"/>
      <c r="B21" s="5"/>
      <c r="C21" s="5"/>
      <c r="D21" s="5"/>
      <c r="E21" s="5"/>
      <c r="F21" s="5"/>
      <c r="G21" s="5"/>
      <c r="H21" s="5"/>
    </row>
    <row r="22" ht="15" customHeight="1">
      <c r="A22" s="5"/>
      <c r="B22" s="5"/>
      <c r="C22" s="5"/>
      <c r="D22" s="5"/>
      <c r="E22" s="5"/>
      <c r="F22" s="5"/>
      <c r="G22" s="5"/>
      <c r="H22" s="5"/>
    </row>
    <row r="23" ht="15" customHeight="1">
      <c r="A23" s="5"/>
      <c r="B23" s="5"/>
      <c r="C23" s="5"/>
      <c r="D23" s="5"/>
      <c r="E23" s="5"/>
      <c r="F23" s="5"/>
      <c r="G23" s="5"/>
      <c r="H23" s="5"/>
    </row>
    <row r="24" ht="15" customHeight="1">
      <c r="A24" s="5"/>
      <c r="B24" s="5"/>
      <c r="C24" s="5"/>
      <c r="D24" s="5"/>
      <c r="E24" s="5"/>
      <c r="F24" s="5"/>
      <c r="G24" s="5"/>
      <c r="H24" s="5"/>
    </row>
    <row r="25" ht="15" customHeight="1">
      <c r="A25" s="5"/>
      <c r="B25" s="5"/>
      <c r="C25" s="5"/>
      <c r="D25" s="5"/>
      <c r="E25" s="5"/>
      <c r="F25" s="5"/>
      <c r="G25" s="5"/>
      <c r="H25" s="5"/>
    </row>
    <row r="26" ht="15" customHeight="1">
      <c r="A26" s="5"/>
      <c r="B26" s="5"/>
      <c r="C26" s="5"/>
      <c r="D26" s="5"/>
      <c r="E26" s="5"/>
      <c r="F26" s="5"/>
      <c r="G26" s="5"/>
      <c r="H26" s="5"/>
    </row>
    <row r="27" ht="15" customHeight="1">
      <c r="A27" s="5"/>
      <c r="B27" s="5"/>
      <c r="C27" s="5"/>
      <c r="D27" s="5"/>
      <c r="E27" s="5"/>
      <c r="F27" s="5"/>
      <c r="G27" s="5"/>
      <c r="H27" s="5"/>
    </row>
    <row r="28" ht="15" customHeight="1">
      <c r="A28" s="5"/>
      <c r="B28" s="5"/>
      <c r="C28" s="5"/>
      <c r="D28" s="5"/>
      <c r="E28" s="5"/>
      <c r="F28" s="5"/>
      <c r="G28" s="5"/>
      <c r="H28" s="5"/>
    </row>
    <row r="29" ht="15" customHeight="1">
      <c r="A29" s="5"/>
      <c r="B29" s="5"/>
      <c r="C29" s="5"/>
      <c r="D29" s="5"/>
      <c r="E29" s="5"/>
      <c r="F29" s="5"/>
      <c r="G29" s="5"/>
      <c r="H29" s="5"/>
    </row>
    <row r="30" ht="15" customHeight="1">
      <c r="A30" s="5"/>
      <c r="B30" s="5"/>
      <c r="C30" s="5"/>
      <c r="D30" s="5"/>
      <c r="E30" s="5"/>
      <c r="F30" s="5"/>
      <c r="G30" s="5"/>
      <c r="H30" s="5"/>
    </row>
    <row r="31" ht="15" customHeight="1">
      <c r="A31" s="5"/>
      <c r="B31" s="5"/>
      <c r="C31" s="5"/>
      <c r="D31" s="5"/>
      <c r="E31" s="5"/>
      <c r="F31" s="5"/>
      <c r="G31" s="5"/>
      <c r="H31" s="5"/>
    </row>
    <row r="32" ht="15" customHeight="1">
      <c r="A32" s="5"/>
      <c r="B32" s="5"/>
      <c r="C32" s="5"/>
      <c r="D32" s="5"/>
      <c r="E32" s="5"/>
      <c r="F32" s="5"/>
      <c r="G32" s="5"/>
      <c r="H32" s="5"/>
    </row>
    <row r="33" ht="15" customHeight="1">
      <c r="A33" s="5"/>
      <c r="B33" s="5"/>
      <c r="C33" s="5"/>
      <c r="D33" s="5"/>
      <c r="E33" s="5"/>
      <c r="F33" s="5"/>
      <c r="G33" s="5"/>
      <c r="H33" s="5"/>
    </row>
    <row r="34" ht="15" customHeight="1">
      <c r="A34" s="5"/>
      <c r="B34" s="5"/>
      <c r="C34" s="5"/>
      <c r="D34" s="5"/>
      <c r="E34" s="5"/>
      <c r="F34" s="5"/>
      <c r="G34" s="5"/>
      <c r="H34" s="5"/>
    </row>
    <row r="35" ht="15" customHeight="1">
      <c r="A35" s="5"/>
      <c r="B35" s="5"/>
      <c r="C35" s="5"/>
      <c r="D35" s="5"/>
      <c r="E35" s="5"/>
      <c r="F35" s="5"/>
      <c r="G35" s="5"/>
      <c r="H35" s="5"/>
    </row>
    <row r="36" ht="15" customHeight="1">
      <c r="A36" s="5"/>
      <c r="B36" s="5"/>
      <c r="C36" s="5"/>
      <c r="D36" s="5"/>
      <c r="E36" s="5"/>
      <c r="F36" s="5"/>
      <c r="G36" s="5"/>
      <c r="H36" s="5"/>
    </row>
    <row r="37" ht="15" customHeight="1">
      <c r="A37" s="5"/>
      <c r="B37" s="5"/>
      <c r="C37" s="5"/>
      <c r="D37" s="5"/>
      <c r="E37" s="5"/>
      <c r="F37" s="5"/>
      <c r="G37" s="5"/>
      <c r="H37" s="5"/>
    </row>
    <row r="38" ht="15" customHeight="1">
      <c r="A38" s="5"/>
      <c r="B38" s="5"/>
      <c r="C38" s="5"/>
      <c r="D38" s="5"/>
      <c r="E38" s="5"/>
      <c r="F38" s="5"/>
      <c r="G38" s="5"/>
      <c r="H38" s="5"/>
    </row>
    <row r="39" ht="15" customHeight="1">
      <c r="A39" s="5"/>
      <c r="B39" s="5"/>
      <c r="C39" s="5"/>
      <c r="D39" s="5"/>
      <c r="E39" s="5"/>
      <c r="F39" s="5"/>
      <c r="G39" s="5"/>
      <c r="H39" s="5"/>
    </row>
    <row r="41" ht="13.5" customHeight="1">
      <c r="A41" s="29" t="s">
        <v>272</v>
      </c>
    </row>
  </sheetData>
  <sheetProtection autoFilter="1" sort="1"/>
  <mergeCells>
    <mergeCell ref="A1:D1"/>
  </mergeCells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F504696-87F8-74B8-3ABB-A07DCB3B4868}" mc:Ignorable="x14ac xr xr2 xr3">
  <dimension ref="A1:AZ50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71.421875" customWidth="1"/>
    <col min="2" max="2" width="13.28125" customWidth="1"/>
    <col min="3" max="3" width="45.00390625" customWidth="1"/>
  </cols>
  <sheetData>
    <row r="1" ht="19.5" customHeight="1" s="1" customFormat="1">
      <c r="A1" s="30" t="s">
        <v>273</v>
      </c>
    </row>
    <row r="3" ht="15.75" customHeight="1">
      <c r="A3" s="32" t="s">
        <v>274</v>
      </c>
    </row>
    <row r="4" ht="15.75" customHeight="1">
      <c r="A4" s="5" t="s">
        <v>275</v>
      </c>
      <c r="B4" s="33">
        <v>60</v>
      </c>
      <c r="C4" t="s">
        <v>276</v>
      </c>
    </row>
    <row r="5" ht="15.75" customHeight="1">
      <c r="A5" s="5" t="s">
        <v>277</v>
      </c>
      <c r="B5" s="34">
        <v>0.1</v>
      </c>
      <c r="C5" t="s">
        <v>276</v>
      </c>
    </row>
    <row r="6" ht="15.75" customHeight="1">
      <c r="A6" s="5" t="s">
        <v>278</v>
      </c>
      <c r="B6" s="35">
        <v>0.02</v>
      </c>
      <c r="C6" t="s">
        <v>276</v>
      </c>
    </row>
    <row r="7" ht="15.75" customHeight="1">
      <c r="A7" s="5" t="s">
        <v>279</v>
      </c>
      <c r="B7" s="36">
        <v>1.3</v>
      </c>
      <c r="C7" t="s">
        <v>276</v>
      </c>
    </row>
    <row r="8" ht="15" customHeight="1">
      <c r="A8" s="5"/>
    </row>
    <row r="9" ht="15.75" customHeight="1">
      <c r="A9" s="37" t="s">
        <v>280</v>
      </c>
      <c r="B9" s="5"/>
    </row>
    <row r="10" ht="15.75" customHeight="1">
      <c r="A10" s="5" t="s">
        <v>281</v>
      </c>
      <c r="B10" s="38">
        <f>B4*(1-B5)</f>
        <v>54</v>
      </c>
    </row>
    <row r="11" ht="15.75" customHeight="1">
      <c r="A11" s="5" t="s">
        <v>282</v>
      </c>
      <c r="B11" s="39">
        <f>B10*B6</f>
        <v>1.08</v>
      </c>
    </row>
    <row r="12" ht="15.75" customHeight="1">
      <c r="A12" s="5" t="s">
        <v>283</v>
      </c>
      <c r="B12" s="40">
        <f>B11</f>
        <v>1.08</v>
      </c>
      <c r="C12" t="s">
        <v>284</v>
      </c>
    </row>
    <row r="13" ht="15.75" customHeight="1">
      <c r="A13" s="5" t="s">
        <v>285</v>
      </c>
      <c r="B13" s="40">
        <f>B12/B7</f>
        <v>0.830769230769231</v>
      </c>
      <c r="C13" t="s">
        <v>286</v>
      </c>
    </row>
    <row r="14" ht="15.75" customHeight="1">
      <c r="A14" s="5" t="s">
        <v>287</v>
      </c>
      <c r="B14" s="38">
        <f>B10</f>
        <v>54</v>
      </c>
      <c r="C14" t="s">
        <v>288</v>
      </c>
    </row>
    <row r="16" ht="15.75" customHeight="1">
      <c r="A16" s="7" t="s">
        <v>289</v>
      </c>
    </row>
    <row r="17" ht="13.5" customHeight="1">
      <c r="A17" s="21" t="s">
        <v>290</v>
      </c>
    </row>
    <row r="19" ht="15.75" customHeight="1">
      <c r="A19" s="41" t="s">
        <v>291</v>
      </c>
    </row>
    <row r="20" ht="15.75" customHeight="1">
      <c r="A20" s="3" t="s">
        <v>92</v>
      </c>
      <c r="B20" s="3" t="s">
        <v>292</v>
      </c>
      <c r="C20" s="3" t="s">
        <v>293</v>
      </c>
    </row>
    <row r="21" ht="15.75" customHeight="1">
      <c r="A21" s="25">
        <v>0.005</v>
      </c>
      <c r="B21" s="42">
        <f t="shared" si="0" ref="B21:B28">$B$10*A21</f>
        <v>0.27</v>
      </c>
      <c r="C21" s="42">
        <f t="shared" si="1" ref="C21:C28">B21/$B$7</f>
        <v>0.207692307692308</v>
      </c>
    </row>
    <row r="22" ht="15.75" customHeight="1">
      <c r="A22" s="25">
        <v>0.01</v>
      </c>
      <c r="B22" s="42">
        <f t="shared" si="0"/>
        <v>0.54</v>
      </c>
      <c r="C22" s="42">
        <f t="shared" si="1"/>
        <v>0.415384615384615</v>
      </c>
    </row>
    <row r="23" ht="15.75" customHeight="1">
      <c r="A23" s="25">
        <v>0.015</v>
      </c>
      <c r="B23" s="42">
        <f t="shared" si="0"/>
        <v>0.81</v>
      </c>
      <c r="C23" s="42">
        <f t="shared" si="1"/>
        <v>0.623076923076923</v>
      </c>
    </row>
    <row r="24" ht="15.75" customHeight="1">
      <c r="A24" s="25">
        <v>0.02</v>
      </c>
      <c r="B24" s="42">
        <f t="shared" si="0"/>
        <v>1.08</v>
      </c>
      <c r="C24" s="42">
        <f t="shared" si="1"/>
        <v>0.830769230769231</v>
      </c>
    </row>
    <row r="25" ht="15.75" customHeight="1">
      <c r="A25" s="25">
        <v>0.025</v>
      </c>
      <c r="B25" s="42">
        <f t="shared" si="0"/>
        <v>1.35</v>
      </c>
      <c r="C25" s="42">
        <f t="shared" si="1"/>
        <v>1.03846153846154</v>
      </c>
    </row>
    <row r="26" ht="15.75" customHeight="1">
      <c r="A26" s="25">
        <v>0.03</v>
      </c>
      <c r="B26" s="42">
        <f t="shared" si="0"/>
        <v>1.62</v>
      </c>
      <c r="C26" s="42">
        <f t="shared" si="1"/>
        <v>1.24615384615385</v>
      </c>
    </row>
    <row r="27" ht="15.75" customHeight="1">
      <c r="A27" s="25">
        <v>0.04</v>
      </c>
      <c r="B27" s="42">
        <f t="shared" si="0"/>
        <v>2.16</v>
      </c>
      <c r="C27" s="42">
        <f t="shared" si="1"/>
        <v>1.66153846153846</v>
      </c>
    </row>
    <row r="28" ht="15.75" customHeight="1">
      <c r="A28" s="25">
        <v>0.05</v>
      </c>
      <c r="B28" s="42">
        <f t="shared" si="0"/>
        <v>2.7</v>
      </c>
      <c r="C28" s="42">
        <f t="shared" si="1"/>
        <v>2.07692307692308</v>
      </c>
    </row>
  </sheetData>
  <sheetProtection autoFilter="1" sort="1"/>
  <mergeCells>
    <mergeCell ref="A1:C1"/>
    <mergeCell ref="A17:E17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2026-07-15T02:12:23Z</dcterms:created>
  <dcterms:modified xsi:type="dcterms:W3CDTF">2026-07-15T02:12:23Z</dcterms:modified>
</cp:coreProperties>
</file>