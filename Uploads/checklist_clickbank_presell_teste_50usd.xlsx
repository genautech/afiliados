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IA_PRIMEIRO" sheetId="1" state="visible" r:id="rId1"/>
    <sheet xmlns:r="http://schemas.openxmlformats.org/officeDocument/2006/relationships" name="01_Master_Checklist" sheetId="2" state="visible" r:id="rId2"/>
    <sheet xmlns:r="http://schemas.openxmlformats.org/officeDocument/2006/relationships" name="02_Produto_ClickBank" sheetId="3" state="visible" r:id="rId3"/>
    <sheet xmlns:r="http://schemas.openxmlformats.org/officeDocument/2006/relationships" name="03_Anti_Strike_CB" sheetId="4" state="visible" r:id="rId4"/>
    <sheet xmlns:r="http://schemas.openxmlformats.org/officeDocument/2006/relationships" name="04_PreSell_Checklist" sheetId="5" state="visible" r:id="rId5"/>
    <sheet xmlns:r="http://schemas.openxmlformats.org/officeDocument/2006/relationships" name="05_Keywords" sheetId="6" state="visible" r:id="rId6"/>
    <sheet xmlns:r="http://schemas.openxmlformats.org/officeDocument/2006/relationships" name="06_Campanha_Google" sheetId="7" state="visible" r:id="rId7"/>
    <sheet xmlns:r="http://schemas.openxmlformats.org/officeDocument/2006/relationships" name="07_Diario_Teste" sheetId="8" state="visible" r:id="rId8"/>
    <sheet xmlns:r="http://schemas.openxmlformats.org/officeDocument/2006/relationships" name="08_Decisao_72h" sheetId="9" state="visible" r:id="rId9"/>
    <sheet xmlns:r="http://schemas.openxmlformats.org/officeDocument/2006/relationships" name="09_BreakEven" sheetId="10" state="visible" r:id="rId10"/>
    <sheet xmlns:r="http://schemas.openxmlformats.org/officeDocument/2006/relationships" name="10_Links_Uteis" sheetId="11" state="visible" r:id="rId11"/>
    <sheet xmlns:r="http://schemas.openxmlformats.org/officeDocument/2006/relationships" name="11_Script_Dia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2"/>
    </font>
    <font>
      <b val="1"/>
      <color rgb="00FFFFFF"/>
      <sz val="11"/>
    </font>
    <font>
      <b val="1"/>
      <color rgb="001F4E79"/>
      <sz val="14"/>
    </font>
    <font>
      <b val="1"/>
      <color rgb="009C0006"/>
    </font>
    <font>
      <b val="1"/>
      <color rgb="001F4E79"/>
      <sz val="12"/>
    </font>
    <font>
      <b val="1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E2D5F1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0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0" fillId="5" borderId="1" pivotButton="0" quotePrefix="0" xfId="0"/>
    <xf numFmtId="0" fontId="7" fillId="0" borderId="0" pivotButton="0" quotePrefix="0" xfId="0"/>
    <xf numFmtId="0" fontId="0" fillId="8" borderId="1" pivotButton="0" quotePrefix="0" xfId="0"/>
    <xf numFmtId="0" fontId="7" fillId="10" borderId="1" pivotButton="0" quotePrefix="0" xfId="0"/>
    <xf numFmtId="0" fontId="0" fillId="10" borderId="1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45" customWidth="1" min="1" max="1"/>
    <col width="85" customWidth="1" min="2" max="2"/>
    <col width="20" customWidth="1" min="3" max="3"/>
    <col width="20" customWidth="1" min="4" max="4"/>
  </cols>
  <sheetData>
    <row r="1" ht="28" customHeight="1">
      <c r="A1" s="1" t="inlineStr">
        <is>
          <t>CLICKBANK PRE-SELL + TESTE DE KEYWORDS (MAX US$ 50) — KIT DE EXECUÇÃO</t>
        </is>
      </c>
    </row>
    <row r="2" ht="40" customHeight="1">
      <c r="A2" s="2" t="inlineStr">
        <is>
          <t>Objetivo: validar palavras-chave e pré-sell de um produto ClickBank JÁ APROVADO, com orçamento máximo de US$ 50, sem strike e com decisão clara KILL / OTIMIZAR / SCALE.</t>
        </is>
      </c>
    </row>
    <row r="3">
      <c r="A3" t="inlineStr"/>
      <c r="B3" t="inlineStr"/>
    </row>
    <row r="4">
      <c r="A4" s="3" t="inlineStr">
        <is>
          <t>COMO USAR ESTE ARQUIVO</t>
        </is>
      </c>
    </row>
    <row r="5">
      <c r="A5" s="4" t="inlineStr">
        <is>
          <t>Ordem</t>
        </is>
      </c>
      <c r="B5" s="4" t="inlineStr">
        <is>
          <t>Aba</t>
        </is>
      </c>
    </row>
    <row r="6">
      <c r="A6" t="inlineStr">
        <is>
          <t>1</t>
        </is>
      </c>
      <c r="B6" t="inlineStr">
        <is>
          <t>01_Master_Checklist — marque cada passo (anti-strike + setup + teste + decisão)</t>
        </is>
      </c>
    </row>
    <row r="7">
      <c r="A7" t="inlineStr">
        <is>
          <t>2</t>
        </is>
      </c>
      <c r="B7" t="inlineStr">
        <is>
          <t>02_Produto_ClickBank — cadastre hop link, vendor terms, geos, comissão, break-even</t>
        </is>
      </c>
    </row>
    <row r="8">
      <c r="A8" t="inlineStr">
        <is>
          <t>3</t>
        </is>
      </c>
      <c r="B8" t="inlineStr">
        <is>
          <t>03_Anti_Strike_CB — regras ClickBank + Google para NÃO tomar strike/ban</t>
        </is>
      </c>
    </row>
    <row r="9">
      <c r="A9" t="inlineStr">
        <is>
          <t>4</t>
        </is>
      </c>
      <c r="B9" t="inlineStr">
        <is>
          <t>04_PreSell_Checklist — checklist da página pré-sell (estrutura, claims, disclaimers)</t>
        </is>
      </c>
    </row>
    <row r="10">
      <c r="A10" t="inlineStr">
        <is>
          <t>5</t>
        </is>
      </c>
      <c r="B10" t="inlineStr">
        <is>
          <t>05_Keywords — pesquisa e shortlist de keywords (teste com $50)</t>
        </is>
      </c>
    </row>
    <row r="11">
      <c r="A11" t="inlineStr">
        <is>
          <t>6</t>
        </is>
      </c>
      <c r="B11" t="inlineStr">
        <is>
          <t>06_Campanha_Google — estrutura da campanha Search de teste</t>
        </is>
      </c>
    </row>
    <row r="12">
      <c r="A12" t="inlineStr">
        <is>
          <t>7</t>
        </is>
      </c>
      <c r="B12" t="inlineStr">
        <is>
          <t>07_Diario_Teste — registre gasto diário (máx $50 total)</t>
        </is>
      </c>
    </row>
    <row r="13">
      <c r="A13" t="inlineStr">
        <is>
          <t>8</t>
        </is>
      </c>
      <c r="B13" t="inlineStr">
        <is>
          <t>08_Decisao_72h — kill / otimizar / scale com regras numéricas</t>
        </is>
      </c>
    </row>
    <row r="14">
      <c r="A14" t="inlineStr">
        <is>
          <t>9</t>
        </is>
      </c>
      <c r="B14" t="inlineStr">
        <is>
          <t>09_BreakEven — calculadora de CPC máximo e meta de CVR</t>
        </is>
      </c>
    </row>
    <row r="15">
      <c r="A15" t="inlineStr">
        <is>
          <t>10</t>
        </is>
      </c>
      <c r="B15" t="inlineStr">
        <is>
          <t>10_Links_Uteis — links oficiais e ferramentas</t>
        </is>
      </c>
    </row>
    <row r="16">
      <c r="A16" t="inlineStr"/>
      <c r="B16" t="inlineStr"/>
    </row>
    <row r="17">
      <c r="A17" s="3" t="inlineStr">
        <is>
          <t>REGRAS DE OURO DO TESTE DE US$ 50</t>
        </is>
      </c>
    </row>
    <row r="18">
      <c r="A18" t="inlineStr">
        <is>
          <t>1</t>
        </is>
      </c>
      <c r="B18" t="inlineStr">
        <is>
          <t>Só Search (não YouTube/PMax no primeiro teste)</t>
        </is>
      </c>
    </row>
    <row r="19">
      <c r="A19" t="inlineStr">
        <is>
          <t>2</t>
        </is>
      </c>
      <c r="B19" t="inlineStr">
        <is>
          <t>Máximo 5–8 keywords (phrase/exact) — não explode match broad</t>
        </is>
      </c>
    </row>
    <row r="20">
      <c r="A20" t="inlineStr">
        <is>
          <t>3</t>
        </is>
      </c>
      <c r="B20" t="inlineStr">
        <is>
          <t>1 campanha, 1 ad group (ou 2 no máximo), 1 bridge/pré-sell</t>
        </is>
      </c>
    </row>
    <row r="21">
      <c r="A21" t="inlineStr">
        <is>
          <t>4</t>
        </is>
      </c>
      <c r="B21" t="inlineStr">
        <is>
          <t>Orçamento diário ~US$ 10–15 por 3–5 dias (total ≤ 50)</t>
        </is>
      </c>
    </row>
    <row r="22">
      <c r="A22" t="inlineStr">
        <is>
          <t>5</t>
        </is>
      </c>
      <c r="B22" t="inlineStr">
        <is>
          <t>Decisão em 48–72h OU quando gastar os $50 — o que vier primeiro com dados mínimos</t>
        </is>
      </c>
    </row>
    <row r="23">
      <c r="A23" t="inlineStr">
        <is>
          <t>6</t>
        </is>
      </c>
      <c r="B23" t="inlineStr">
        <is>
          <t>Nunca direct link se a vertical for sensível (health/finance) — use pré-sell</t>
        </is>
      </c>
    </row>
    <row r="24">
      <c r="A24" t="inlineStr">
        <is>
          <t>7</t>
        </is>
      </c>
      <c r="B24" t="inlineStr">
        <is>
          <t>Leia Vendor Terms ANTES de gastar 1 centavo</t>
        </is>
      </c>
    </row>
    <row r="25">
      <c r="A25" t="inlineStr">
        <is>
          <t>8</t>
        </is>
      </c>
      <c r="B25" t="inlineStr">
        <is>
          <t>UTM + hop link correto + conversões configuradas ANTES do go-live</t>
        </is>
      </c>
    </row>
    <row r="26">
      <c r="A26" t="inlineStr"/>
      <c r="B26" t="inlineStr"/>
    </row>
    <row r="27">
      <c r="A27" s="3" t="inlineStr">
        <is>
          <t>STATUS DO PROJETO (preencha)</t>
        </is>
      </c>
    </row>
    <row r="28">
      <c r="A28" t="inlineStr">
        <is>
          <t>Produto / Offer ID</t>
        </is>
      </c>
      <c r="B28" s="5" t="inlineStr">
        <is>
          <t>NÃO INICIADO</t>
        </is>
      </c>
    </row>
    <row r="29">
      <c r="A29" t="inlineStr">
        <is>
          <t>Nicho / Vertical</t>
        </is>
      </c>
      <c r="B29" s="5" t="inlineStr"/>
    </row>
    <row r="30">
      <c r="A30" t="inlineStr">
        <is>
          <t>Geo principal</t>
        </is>
      </c>
      <c r="B30" s="5" t="inlineStr"/>
    </row>
    <row r="31">
      <c r="A31" t="inlineStr">
        <is>
          <t>Data início teste</t>
        </is>
      </c>
      <c r="B31" s="5" t="inlineStr"/>
    </row>
    <row r="32">
      <c r="A32" t="inlineStr">
        <is>
          <t>Orçamento total reservado (USD)</t>
        </is>
      </c>
      <c r="B32" s="5" t="n">
        <v>50</v>
      </c>
    </row>
    <row r="33">
      <c r="A33" t="inlineStr">
        <is>
          <t>Status geral</t>
        </is>
      </c>
      <c r="B33" s="5" t="inlineStr">
        <is>
          <t>NÃO INICIADO</t>
        </is>
      </c>
    </row>
    <row r="34"/>
    <row r="35"/>
    <row r="36"/>
    <row r="37"/>
    <row r="38"/>
    <row r="39"/>
  </sheetData>
  <mergeCells count="5">
    <mergeCell ref="A4:B4"/>
    <mergeCell ref="A1:D1"/>
    <mergeCell ref="A2:D2"/>
    <mergeCell ref="A17:B17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  <col width="55" customWidth="1" min="4" max="4"/>
    <col width="14" customWidth="1" min="5" max="5"/>
    <col width="30" customWidth="1" min="6" max="6"/>
  </cols>
  <sheetData>
    <row r="1">
      <c r="A1" s="6" t="inlineStr">
        <is>
          <t>MASTER CHECKLIST — DO ZERO AO TESTE COM LUCRO (ou kill limpo)</t>
        </is>
      </c>
    </row>
    <row r="2">
      <c r="A2" s="4" t="inlineStr">
        <is>
          <t>#</t>
        </is>
      </c>
      <c r="B2" s="4" t="inlineStr">
        <is>
          <t>Fase</t>
        </is>
      </c>
      <c r="C2" s="4" t="inlineStr">
        <is>
          <t>Tarefa</t>
        </is>
      </c>
      <c r="D2" s="4" t="inlineStr">
        <is>
          <t>Como fazer / Critério de pronto</t>
        </is>
      </c>
      <c r="E2" s="4" t="inlineStr">
        <is>
          <t>Status</t>
        </is>
      </c>
      <c r="F2" s="4" t="inlineStr">
        <is>
          <t>Notas</t>
        </is>
      </c>
    </row>
    <row r="3" ht="32" customHeight="1">
      <c r="A3" s="7" t="n">
        <v>1</v>
      </c>
      <c r="B3" s="8" t="inlineStr">
        <is>
          <t>0. Pré-requisitos</t>
        </is>
      </c>
      <c r="C3" s="7" t="inlineStr">
        <is>
          <t>Conta ClickBank ativa e produto APROVADO para promover</t>
        </is>
      </c>
      <c r="D3" s="7" t="inlineStr">
        <is>
          <t>Hop link gera e redireciona; offer aparece no marketplace/HOPs</t>
        </is>
      </c>
      <c r="E3" s="9" t="inlineStr">
        <is>
          <t>PENDENTE</t>
        </is>
      </c>
      <c r="F3" s="7" t="inlineStr"/>
    </row>
    <row r="4" ht="32" customHeight="1">
      <c r="A4" s="7" t="n">
        <v>2</v>
      </c>
      <c r="B4" s="8" t="inlineStr">
        <is>
          <t>0. Pré-requisitos</t>
        </is>
      </c>
      <c r="C4" s="7" t="inlineStr">
        <is>
          <t>Ler Vendor Terms da oferta (PDF/página do vendor)</t>
        </is>
      </c>
      <c r="D4" s="7" t="inlineStr">
        <is>
          <t>Anotou: geos OK, tráfego Google OK?, trademark, claims proibidos, cookie</t>
        </is>
      </c>
      <c r="E4" s="9" t="inlineStr">
        <is>
          <t>PENDENTE</t>
        </is>
      </c>
      <c r="F4" s="7" t="inlineStr"/>
    </row>
    <row r="5" ht="32" customHeight="1">
      <c r="A5" s="7" t="n">
        <v>3</v>
      </c>
      <c r="B5" s="8" t="inlineStr">
        <is>
          <t>0. Pré-requisitos</t>
        </is>
      </c>
      <c r="C5" s="7" t="inlineStr">
        <is>
          <t>Confirmar comissão, AOV, upsells e refund típico</t>
        </is>
      </c>
      <c r="D5" s="7" t="inlineStr">
        <is>
          <t>Preencher aba 02_Produto_ClickBank e 09_BreakEven</t>
        </is>
      </c>
      <c r="E5" s="9" t="inlineStr">
        <is>
          <t>PENDENTE</t>
        </is>
      </c>
      <c r="F5" s="7" t="inlineStr"/>
    </row>
    <row r="6" ht="32" customHeight="1">
      <c r="A6" s="7" t="n">
        <v>4</v>
      </c>
      <c r="B6" s="8" t="inlineStr">
        <is>
          <t>0. Pré-requisitos</t>
        </is>
      </c>
      <c r="C6" s="7" t="inlineStr">
        <is>
          <t>Conta Google Ads com método de pagamento e billing OK</t>
        </is>
      </c>
      <c r="D6" s="7" t="inlineStr">
        <is>
          <t>Pode criar campanha; sem restrição de conta</t>
        </is>
      </c>
      <c r="E6" s="9" t="inlineStr">
        <is>
          <t>PENDENTE</t>
        </is>
      </c>
      <c r="F6" s="7" t="inlineStr"/>
    </row>
    <row r="7" ht="32" customHeight="1">
      <c r="A7" s="7" t="n">
        <v>5</v>
      </c>
      <c r="B7" s="8" t="inlineStr">
        <is>
          <t>0. Pré-requisitos</t>
        </is>
      </c>
      <c r="C7" s="7" t="inlineStr">
        <is>
          <t>Domínio + hospedagem da pré-sell (SSL)</t>
        </is>
      </c>
      <c r="D7" s="7" t="inlineStr">
        <is>
          <t>HTTPS funciona; página carrega &lt; 3s no mobile</t>
        </is>
      </c>
      <c r="E7" s="9" t="inlineStr">
        <is>
          <t>PENDENTE</t>
        </is>
      </c>
      <c r="F7" s="7" t="inlineStr"/>
    </row>
    <row r="8" ht="32" customHeight="1">
      <c r="A8" s="7" t="n">
        <v>6</v>
      </c>
      <c r="B8" s="8" t="inlineStr">
        <is>
          <t>0. Pré-requisitos</t>
        </is>
      </c>
      <c r="C8" s="7" t="inlineStr">
        <is>
          <t>Google Analytics 4 + Google Tag Manager (recomendado)</t>
        </is>
      </c>
      <c r="D8" s="7" t="inlineStr">
        <is>
          <t>Eventos de page_view e clique no CTA medidos</t>
        </is>
      </c>
      <c r="E8" s="9" t="inlineStr">
        <is>
          <t>PENDENTE</t>
        </is>
      </c>
      <c r="F8" s="7" t="inlineStr"/>
    </row>
    <row r="9" ht="32" customHeight="1">
      <c r="A9" s="7" t="n">
        <v>7</v>
      </c>
      <c r="B9" s="8" t="inlineStr">
        <is>
          <t>0. Pré-requisitos</t>
        </is>
      </c>
      <c r="C9" s="7" t="inlineStr">
        <is>
          <t>Planilha de tracking aberta (este arquivo + skill)</t>
        </is>
      </c>
      <c r="D9" s="7" t="inlineStr">
        <is>
          <t>Sabe onde lançar gasto e cliques diários</t>
        </is>
      </c>
      <c r="E9" s="9" t="inlineStr">
        <is>
          <t>PENDENTE</t>
        </is>
      </c>
      <c r="F9" s="7" t="inlineStr"/>
    </row>
    <row r="10" ht="32" customHeight="1">
      <c r="A10" s="7" t="n">
        <v>8</v>
      </c>
      <c r="B10" s="10" t="inlineStr">
        <is>
          <t>1. Anti-Strike ClickBank</t>
        </is>
      </c>
      <c r="C10" s="7" t="inlineStr">
        <is>
          <t>NÃO usar claims de cura, renda garantida, milagre</t>
        </is>
      </c>
      <c r="D10" s="7" t="inlineStr">
        <is>
          <t>Copy da pré-sell e ads revisados na aba 03</t>
        </is>
      </c>
      <c r="E10" s="9" t="inlineStr">
        <is>
          <t>PENDENTE</t>
        </is>
      </c>
      <c r="F10" s="7" t="inlineStr"/>
    </row>
    <row r="11" ht="32" customHeight="1">
      <c r="A11" s="7" t="n">
        <v>9</v>
      </c>
      <c r="B11" s="10" t="inlineStr">
        <is>
          <t>1. Anti-Strike ClickBank</t>
        </is>
      </c>
      <c r="C11" s="7" t="inlineStr">
        <is>
          <t>NÃO fazer cloaking / redirect enganoso / traffic quality fraud</t>
        </is>
      </c>
      <c r="D11" s="7" t="inlineStr">
        <is>
          <t>Mesmo conteúdo para Googlebot e usuário</t>
        </is>
      </c>
      <c r="E11" s="9" t="inlineStr">
        <is>
          <t>PENDENTE</t>
        </is>
      </c>
      <c r="F11" s="7" t="inlineStr"/>
    </row>
    <row r="12" ht="32" customHeight="1">
      <c r="A12" s="7" t="n">
        <v>10</v>
      </c>
      <c r="B12" s="10" t="inlineStr">
        <is>
          <t>1. Anti-Strike ClickBank</t>
        </is>
      </c>
      <c r="C12" s="7" t="inlineStr">
        <is>
          <t>NÃO biddar trademark do produto se Vendor Terms proibir</t>
        </is>
      </c>
      <c r="D12" s="7" t="inlineStr">
        <is>
          <t>Lista de negativas de marca pronta</t>
        </is>
      </c>
      <c r="E12" s="9" t="inlineStr">
        <is>
          <t>PENDENTE</t>
        </is>
      </c>
      <c r="F12" s="7" t="inlineStr"/>
    </row>
    <row r="13" ht="32" customHeight="1">
      <c r="A13" s="7" t="n">
        <v>11</v>
      </c>
      <c r="B13" s="10" t="inlineStr">
        <is>
          <t>1. Anti-Strike ClickBank</t>
        </is>
      </c>
      <c r="C13" s="7" t="inlineStr">
        <is>
          <t>Disclaimer de afiliado visível na pré-sell</t>
        </is>
      </c>
      <c r="D13" s="7" t="inlineStr">
        <is>
          <t>Texto claro: pode receber comissão; resultados variam</t>
        </is>
      </c>
      <c r="E13" s="9" t="inlineStr">
        <is>
          <t>PENDENTE</t>
        </is>
      </c>
      <c r="F13" s="7" t="inlineStr"/>
    </row>
    <row r="14" ht="32" customHeight="1">
      <c r="A14" s="7" t="n">
        <v>12</v>
      </c>
      <c r="B14" s="10" t="inlineStr">
        <is>
          <t>1. Anti-Strike ClickBank</t>
        </is>
      </c>
      <c r="C14" s="7" t="inlineStr">
        <is>
          <t>Privacy Policy + contato na página</t>
        </is>
      </c>
      <c r="D14" s="7" t="inlineStr">
        <is>
          <t>Links no rodapé funcionando</t>
        </is>
      </c>
      <c r="E14" s="9" t="inlineStr">
        <is>
          <t>PENDENTE</t>
        </is>
      </c>
      <c r="F14" s="7" t="inlineStr"/>
    </row>
    <row r="15" ht="32" customHeight="1">
      <c r="A15" s="7" t="n">
        <v>13</v>
      </c>
      <c r="B15" s="10" t="inlineStr">
        <is>
          <t>1. Anti-Strike ClickBank</t>
        </is>
      </c>
      <c r="C15" s="7" t="inlineStr">
        <is>
          <t>Hop link correto (seu nickname + offer)</t>
        </is>
      </c>
      <c r="D15" s="7" t="inlineStr">
        <is>
          <t>Testar em aba anônima; confirma hop stats no CB</t>
        </is>
      </c>
      <c r="E15" s="9" t="inlineStr">
        <is>
          <t>PENDENTE</t>
        </is>
      </c>
      <c r="F15" s="7" t="inlineStr"/>
    </row>
    <row r="16" ht="32" customHeight="1">
      <c r="A16" s="7" t="n">
        <v>14</v>
      </c>
      <c r="B16" s="10" t="inlineStr">
        <is>
          <t>1. Anti-Strike ClickBank</t>
        </is>
      </c>
      <c r="C16" s="7" t="inlineStr">
        <is>
          <t>Alinhar Google Ads Policy + Vendor Terms + CB Client Contract</t>
        </is>
      </c>
      <c r="D16" s="7" t="inlineStr">
        <is>
          <t>Checklist 03 100% OK</t>
        </is>
      </c>
      <c r="E16" s="9" t="inlineStr">
        <is>
          <t>PENDENTE</t>
        </is>
      </c>
      <c r="F16" s="7" t="inlineStr"/>
    </row>
    <row r="17" ht="32" customHeight="1">
      <c r="A17" s="7" t="n">
        <v>15</v>
      </c>
      <c r="B17" s="11" t="inlineStr">
        <is>
          <t>2. Pré-sell</t>
        </is>
      </c>
      <c r="C17" s="7" t="inlineStr">
        <is>
          <t>Definir ângulo único da página (1 promessa principal)</t>
        </is>
      </c>
      <c r="D17" s="7" t="inlineStr">
        <is>
          <t>Ex: review honesta / comparação / guia do problema</t>
        </is>
      </c>
      <c r="E17" s="9" t="inlineStr">
        <is>
          <t>PENDENTE</t>
        </is>
      </c>
      <c r="F17" s="7" t="inlineStr"/>
    </row>
    <row r="18" ht="32" customHeight="1">
      <c r="A18" s="7" t="n">
        <v>16</v>
      </c>
      <c r="B18" s="11" t="inlineStr">
        <is>
          <t>2. Pré-sell</t>
        </is>
      </c>
      <c r="C18" s="7" t="inlineStr">
        <is>
          <t>Estrutura completa da página (H1 → CTA → FAQ → disclaimer)</t>
        </is>
      </c>
      <c r="D18" s="7" t="inlineStr">
        <is>
          <t>Aba 04_PreSell_Checklist toda marcada</t>
        </is>
      </c>
      <c r="E18" s="9" t="inlineStr">
        <is>
          <t>PENDENTE</t>
        </is>
      </c>
      <c r="F18" s="7" t="inlineStr"/>
    </row>
    <row r="19" ht="32" customHeight="1">
      <c r="A19" s="7" t="n">
        <v>17</v>
      </c>
      <c r="B19" s="11" t="inlineStr">
        <is>
          <t>2. Pré-sell</t>
        </is>
      </c>
      <c r="C19" s="7" t="inlineStr">
        <is>
          <t>CTA único apontando para hop link ClickBank</t>
        </is>
      </c>
      <c r="D19" s="7" t="inlineStr">
        <is>
          <t>1 botão principal; UTM no link se possível</t>
        </is>
      </c>
      <c r="E19" s="9" t="inlineStr">
        <is>
          <t>PENDENTE</t>
        </is>
      </c>
      <c r="F19" s="7" t="inlineStr"/>
    </row>
    <row r="20" ht="32" customHeight="1">
      <c r="A20" s="7" t="n">
        <v>18</v>
      </c>
      <c r="B20" s="11" t="inlineStr">
        <is>
          <t>2. Pré-sell</t>
        </is>
      </c>
      <c r="C20" s="7" t="inlineStr">
        <is>
          <t>Mobile-first: tipografia, botões, VSL embed se houver</t>
        </is>
      </c>
      <c r="D20" s="7" t="inlineStr">
        <is>
          <t>Teste real no celular</t>
        </is>
      </c>
      <c r="E20" s="9" t="inlineStr">
        <is>
          <t>PENDENTE</t>
        </is>
      </c>
      <c r="F20" s="7" t="inlineStr"/>
    </row>
    <row r="21" ht="32" customHeight="1">
      <c r="A21" s="7" t="n">
        <v>19</v>
      </c>
      <c r="B21" s="11" t="inlineStr">
        <is>
          <t>2. Pré-sell</t>
        </is>
      </c>
      <c r="C21" s="7" t="inlineStr">
        <is>
          <t>Sem pop-ups agressivos / exit intent enganoso</t>
        </is>
      </c>
      <c r="D21" s="7" t="inlineStr">
        <is>
          <t>UX limpa para Quality Score e policy</t>
        </is>
      </c>
      <c r="E21" s="9" t="inlineStr">
        <is>
          <t>PENDENTE</t>
        </is>
      </c>
      <c r="F21" s="7" t="inlineStr"/>
    </row>
    <row r="22" ht="32" customHeight="1">
      <c r="A22" s="7" t="n">
        <v>20</v>
      </c>
      <c r="B22" s="11" t="inlineStr">
        <is>
          <t>2. Pré-sell</t>
        </is>
      </c>
      <c r="C22" s="7" t="inlineStr">
        <is>
          <t>Prova social realista (sem fabricar depoimentos)</t>
        </is>
      </c>
      <c r="D22" s="7" t="inlineStr">
        <is>
          <t>Só o que puder justificar</t>
        </is>
      </c>
      <c r="E22" s="9" t="inlineStr">
        <is>
          <t>PENDENTE</t>
        </is>
      </c>
      <c r="F22" s="7" t="inlineStr"/>
    </row>
    <row r="23" ht="32" customHeight="1">
      <c r="A23" s="7" t="n">
        <v>21</v>
      </c>
      <c r="B23" s="11" t="inlineStr">
        <is>
          <t>2. Pré-sell</t>
        </is>
      </c>
      <c r="C23" s="7" t="inlineStr">
        <is>
          <t>Página indexável ou noindex? (para ads puro: noindex ok)</t>
        </is>
      </c>
      <c r="D23" s="7" t="inlineStr">
        <is>
          <t>Decisão documentada nas notas</t>
        </is>
      </c>
      <c r="E23" s="9" t="inlineStr">
        <is>
          <t>PENDENTE</t>
        </is>
      </c>
      <c r="F23" s="7" t="inlineStr"/>
    </row>
    <row r="24" ht="32" customHeight="1">
      <c r="A24" s="7" t="n">
        <v>22</v>
      </c>
      <c r="B24" s="12" t="inlineStr">
        <is>
          <t>3. Keywords</t>
        </is>
      </c>
      <c r="C24" s="7" t="inlineStr">
        <is>
          <t>Mapear intenção: problema / solução / comparação / marca</t>
        </is>
      </c>
      <c r="D24" s="7" t="inlineStr">
        <is>
          <t>Lista bruta na aba 05</t>
        </is>
      </c>
      <c r="E24" s="9" t="inlineStr">
        <is>
          <t>PENDENTE</t>
        </is>
      </c>
      <c r="F24" s="7" t="inlineStr"/>
    </row>
    <row r="25" ht="32" customHeight="1">
      <c r="A25" s="7" t="n">
        <v>23</v>
      </c>
      <c r="B25" s="12" t="inlineStr">
        <is>
          <t>3. Keywords</t>
        </is>
      </c>
      <c r="C25" s="7" t="inlineStr">
        <is>
          <t>Usar Keyword Planner + sugestões Search + foruns/Reddit/Quora</t>
        </is>
      </c>
      <c r="D25" s="7" t="inlineStr">
        <is>
          <t>Volume + CPC estimado + relevância</t>
        </is>
      </c>
      <c r="E25" s="9" t="inlineStr">
        <is>
          <t>PENDENTE</t>
        </is>
      </c>
      <c r="F25" s="7" t="inlineStr"/>
    </row>
    <row r="26" ht="32" customHeight="1">
      <c r="A26" s="7" t="n">
        <v>24</v>
      </c>
      <c r="B26" s="12" t="inlineStr">
        <is>
          <t>3. Keywords</t>
        </is>
      </c>
      <c r="C26" s="7" t="inlineStr">
        <is>
          <t>Shortlist de 5–8 keywords para o teste de $50</t>
        </is>
      </c>
      <c r="D26" s="7" t="inlineStr">
        <is>
          <t>Só phrase e exact; sem broad no dia 1</t>
        </is>
      </c>
      <c r="E26" s="9" t="inlineStr">
        <is>
          <t>PENDENTE</t>
        </is>
      </c>
      <c r="F26" s="7" t="inlineStr"/>
    </row>
    <row r="27" ht="32" customHeight="1">
      <c r="A27" s="7" t="n">
        <v>25</v>
      </c>
      <c r="B27" s="12" t="inlineStr">
        <is>
          <t>3. Keywords</t>
        </is>
      </c>
      <c r="C27" s="7" t="inlineStr">
        <is>
          <t>Lista de negativas (grátis, vaga, emprego, reclamações, marca proibida)</t>
        </is>
      </c>
      <c r="D27" s="7" t="inlineStr">
        <is>
          <t>Mínimo 20 negativas</t>
        </is>
      </c>
      <c r="E27" s="9" t="inlineStr">
        <is>
          <t>PENDENTE</t>
        </is>
      </c>
      <c r="F27" s="7" t="inlineStr"/>
    </row>
    <row r="28" ht="32" customHeight="1">
      <c r="A28" s="7" t="n">
        <v>26</v>
      </c>
      <c r="B28" s="12" t="inlineStr">
        <is>
          <t>3. Keywords</t>
        </is>
      </c>
      <c r="C28" s="7" t="inlineStr">
        <is>
          <t>Calcular break-even CPC com comissão e CVR estimada</t>
        </is>
      </c>
      <c r="D28" s="7" t="inlineStr">
        <is>
          <t>Aba 09 preenchida; CPC alvo &lt; break-even</t>
        </is>
      </c>
      <c r="E28" s="9" t="inlineStr">
        <is>
          <t>PENDENTE</t>
        </is>
      </c>
      <c r="F28" s="7" t="inlineStr"/>
    </row>
    <row r="29" ht="32" customHeight="1">
      <c r="A29" s="7" t="n">
        <v>27</v>
      </c>
      <c r="B29" s="13" t="inlineStr">
        <is>
          <t>4. Google Ads Setup</t>
        </is>
      </c>
      <c r="C29" s="7" t="inlineStr">
        <is>
          <t>Campanha Search — só o geo permitido pelo vendor</t>
        </is>
      </c>
      <c r="D29" s="7" t="inlineStr">
        <is>
          <t>Localização = presença nas áreas-alvo</t>
        </is>
      </c>
      <c r="E29" s="9" t="inlineStr">
        <is>
          <t>PENDENTE</t>
        </is>
      </c>
      <c r="F29" s="7" t="inlineStr"/>
    </row>
    <row r="30" ht="32" customHeight="1">
      <c r="A30" s="7" t="n">
        <v>28</v>
      </c>
      <c r="B30" s="13" t="inlineStr">
        <is>
          <t>4. Google Ads Setup</t>
        </is>
      </c>
      <c r="C30" s="7" t="inlineStr">
        <is>
          <t>Orçamento diário US$ 10–15 (teto total $50)</t>
        </is>
      </c>
      <c r="D30" s="7" t="inlineStr">
        <is>
          <t>Shared budget ou alerta de gasto em $40</t>
        </is>
      </c>
      <c r="E30" s="9" t="inlineStr">
        <is>
          <t>PENDENTE</t>
        </is>
      </c>
      <c r="F30" s="7" t="inlineStr"/>
    </row>
    <row r="31" ht="32" customHeight="1">
      <c r="A31" s="7" t="n">
        <v>29</v>
      </c>
      <c r="B31" s="13" t="inlineStr">
        <is>
          <t>4. Google Ads Setup</t>
        </is>
      </c>
      <c r="C31" s="7" t="inlineStr">
        <is>
          <t>Rede de pesquisa ON; Display Expansion OFF; Search Partners OFF no teste</t>
        </is>
      </c>
      <c r="D31" s="7" t="inlineStr">
        <is>
          <t>Controle máximo de qualidade</t>
        </is>
      </c>
      <c r="E31" s="9" t="inlineStr">
        <is>
          <t>PENDENTE</t>
        </is>
      </c>
      <c r="F31" s="7" t="inlineStr"/>
    </row>
    <row r="32" ht="32" customHeight="1">
      <c r="A32" s="7" t="n">
        <v>30</v>
      </c>
      <c r="B32" s="13" t="inlineStr">
        <is>
          <t>4. Google Ads Setup</t>
        </is>
      </c>
      <c r="C32" s="7" t="inlineStr">
        <is>
          <t>1 ad group (tema único) + 5–8 keywords phrase/exact</t>
        </is>
      </c>
      <c r="D32" s="7" t="inlineStr">
        <is>
          <t>Naming: CB_[VERTICAL]_[GEO]_SEARCH_BRIDGE_v1</t>
        </is>
      </c>
      <c r="E32" s="9" t="inlineStr">
        <is>
          <t>PENDENTE</t>
        </is>
      </c>
      <c r="F32" s="7" t="inlineStr"/>
    </row>
    <row r="33" ht="32" customHeight="1">
      <c r="A33" s="7" t="n">
        <v>31</v>
      </c>
      <c r="B33" s="13" t="inlineStr">
        <is>
          <t>4. Google Ads Setup</t>
        </is>
      </c>
      <c r="C33" s="7" t="inlineStr">
        <is>
          <t>RSA: 10–15 títulos, 4 descrições, sem claims proibidos</t>
        </is>
      </c>
      <c r="D33" s="7" t="inlineStr">
        <is>
          <t>Alinhado à keyword e à pré-sell</t>
        </is>
      </c>
      <c r="E33" s="9" t="inlineStr">
        <is>
          <t>PENDENTE</t>
        </is>
      </c>
      <c r="F33" s="7" t="inlineStr"/>
    </row>
    <row r="34" ht="32" customHeight="1">
      <c r="A34" s="7" t="n">
        <v>32</v>
      </c>
      <c r="B34" s="13" t="inlineStr">
        <is>
          <t>4. Google Ads Setup</t>
        </is>
      </c>
      <c r="C34" s="7" t="inlineStr">
        <is>
          <t>URL final = pré-sell (NÃO hop direto se vertical sensível)</t>
        </is>
      </c>
      <c r="D34" s="7" t="inlineStr">
        <is>
          <t>Final URL = domínio da bridge</t>
        </is>
      </c>
      <c r="E34" s="9" t="inlineStr">
        <is>
          <t>PENDENTE</t>
        </is>
      </c>
      <c r="F34" s="7" t="inlineStr"/>
    </row>
    <row r="35" ht="32" customHeight="1">
      <c r="A35" s="7" t="n">
        <v>33</v>
      </c>
      <c r="B35" s="13" t="inlineStr">
        <is>
          <t>4. Google Ads Setup</t>
        </is>
      </c>
      <c r="C35" s="7" t="inlineStr">
        <is>
          <t>UTMs no URL final ou tracking template</t>
        </is>
      </c>
      <c r="D35" s="7" t="inlineStr">
        <is>
          <t>utm_source=google&amp;utm_medium=cpc&amp;utm_campaign=...&amp;utm_content=</t>
        </is>
      </c>
      <c r="E35" s="9" t="inlineStr">
        <is>
          <t>PENDENTE</t>
        </is>
      </c>
      <c r="F35" s="7" t="inlineStr"/>
    </row>
    <row r="36" ht="32" customHeight="1">
      <c r="A36" s="7" t="n">
        <v>34</v>
      </c>
      <c r="B36" s="13" t="inlineStr">
        <is>
          <t>4. Google Ads Setup</t>
        </is>
      </c>
      <c r="C36" s="7" t="inlineStr">
        <is>
          <t>Conversão: clique no CTA (secundária) + compra se tiver pixel/offline</t>
        </is>
      </c>
      <c r="D36" s="7" t="inlineStr">
        <is>
          <t>Pelo menos 1 conversão de micro (CTA click)</t>
        </is>
      </c>
      <c r="E36" s="9" t="inlineStr">
        <is>
          <t>PENDENTE</t>
        </is>
      </c>
      <c r="F36" s="7" t="inlineStr"/>
    </row>
    <row r="37" ht="32" customHeight="1">
      <c r="A37" s="7" t="n">
        <v>35</v>
      </c>
      <c r="B37" s="13" t="inlineStr">
        <is>
          <t>4. Google Ads Setup</t>
        </is>
      </c>
      <c r="C37" s="7" t="inlineStr">
        <is>
          <t>Extensões: sitelinks, callouts, structured snippets (se couber)</t>
        </is>
      </c>
      <c r="D37" s="7" t="inlineStr">
        <is>
          <t>Melhora CTR sem claims falsos</t>
        </is>
      </c>
      <c r="E37" s="9" t="inlineStr">
        <is>
          <t>PENDENTE</t>
        </is>
      </c>
      <c r="F37" s="7" t="inlineStr"/>
    </row>
    <row r="38" ht="32" customHeight="1">
      <c r="A38" s="7" t="n">
        <v>36</v>
      </c>
      <c r="B38" s="13" t="inlineStr">
        <is>
          <t>4. Google Ads Setup</t>
        </is>
      </c>
      <c r="C38" s="7" t="inlineStr">
        <is>
          <t>Revisão final policy + preview do anúncio</t>
        </is>
      </c>
      <c r="D38" s="7" t="inlineStr">
        <is>
          <t>Sem disapproved pending óbvio</t>
        </is>
      </c>
      <c r="E38" s="9" t="inlineStr">
        <is>
          <t>PENDENTE</t>
        </is>
      </c>
      <c r="F38" s="7" t="inlineStr"/>
    </row>
    <row r="39" ht="32" customHeight="1">
      <c r="A39" s="7" t="n">
        <v>37</v>
      </c>
      <c r="B39" s="9" t="inlineStr">
        <is>
          <t>5. Execução do teste</t>
        </is>
      </c>
      <c r="C39" s="7" t="inlineStr">
        <is>
          <t>Go-live e monitorar primeiras 2–4h (impressões, CPC, CTR)</t>
        </is>
      </c>
      <c r="D39" s="7" t="inlineStr">
        <is>
          <t>Se 0 impressões: keywords/bid/geo</t>
        </is>
      </c>
      <c r="E39" s="9" t="inlineStr">
        <is>
          <t>PENDENTE</t>
        </is>
      </c>
      <c r="F39" s="7" t="inlineStr"/>
    </row>
    <row r="40" ht="32" customHeight="1">
      <c r="A40" s="7" t="n">
        <v>38</v>
      </c>
      <c r="B40" s="9" t="inlineStr">
        <is>
          <t>5. Execução do teste</t>
        </is>
      </c>
      <c r="C40" s="7" t="inlineStr">
        <is>
          <t>Lançar dados no 07_Diario_Teste todo dia</t>
        </is>
      </c>
      <c r="D40" s="7" t="inlineStr">
        <is>
          <t>Gasto, cliques, CTR, CPC, cliques CTA, vendas CB</t>
        </is>
      </c>
      <c r="E40" s="9" t="inlineStr">
        <is>
          <t>PENDENTE</t>
        </is>
      </c>
      <c r="F40" s="7" t="inlineStr"/>
    </row>
    <row r="41" ht="32" customHeight="1">
      <c r="A41" s="7" t="n">
        <v>39</v>
      </c>
      <c r="B41" s="9" t="inlineStr">
        <is>
          <t>5. Execução do teste</t>
        </is>
      </c>
      <c r="C41" s="7" t="inlineStr">
        <is>
          <t>Pausar keyword com CPC absurdo e 0 relevância</t>
        </is>
      </c>
      <c r="D41" s="7" t="inlineStr">
        <is>
          <t>Não queimar $50 em 1 termo ruim</t>
        </is>
      </c>
      <c r="E41" s="9" t="inlineStr">
        <is>
          <t>PENDENTE</t>
        </is>
      </c>
      <c r="F41" s="7" t="inlineStr"/>
    </row>
    <row r="42" ht="32" customHeight="1">
      <c r="A42" s="7" t="n">
        <v>40</v>
      </c>
      <c r="B42" s="9" t="inlineStr">
        <is>
          <t>5. Execução do teste</t>
        </is>
      </c>
      <c r="C42" s="7" t="inlineStr">
        <is>
          <t>Checar hop stats no ClickBank vs cliques Google</t>
        </is>
      </c>
      <c r="D42" s="7" t="inlineStr">
        <is>
          <t>Discrepância grande = tracking/link errado</t>
        </is>
      </c>
      <c r="E42" s="9" t="inlineStr">
        <is>
          <t>PENDENTE</t>
        </is>
      </c>
      <c r="F42" s="7" t="inlineStr"/>
    </row>
    <row r="43" ht="32" customHeight="1">
      <c r="A43" s="7" t="n">
        <v>41</v>
      </c>
      <c r="B43" s="9" t="inlineStr">
        <is>
          <t>5. Execução do teste</t>
        </is>
      </c>
      <c r="C43" s="7" t="inlineStr">
        <is>
          <t>Parar ao atingir $50 OU 48–72h com ≥ dados mínimos</t>
        </is>
      </c>
      <c r="D43" s="7" t="inlineStr">
        <is>
          <t>Ver aba 08_Decisao_72h</t>
        </is>
      </c>
      <c r="E43" s="9" t="inlineStr">
        <is>
          <t>PENDENTE</t>
        </is>
      </c>
      <c r="F43" s="7" t="inlineStr"/>
    </row>
    <row r="44" ht="32" customHeight="1">
      <c r="A44" s="7" t="n">
        <v>42</v>
      </c>
      <c r="B44" s="14" t="inlineStr">
        <is>
          <t>6. Decisão</t>
        </is>
      </c>
      <c r="C44" s="7" t="inlineStr">
        <is>
          <t>Calcular EPC, CVR hop, eCPA, lucro estimado (–refund)</t>
        </is>
      </c>
      <c r="D44" s="7" t="inlineStr">
        <is>
          <t>Números na aba 08</t>
        </is>
      </c>
      <c r="E44" s="9" t="inlineStr">
        <is>
          <t>PENDENTE</t>
        </is>
      </c>
      <c r="F44" s="7" t="inlineStr"/>
    </row>
    <row r="45" ht="32" customHeight="1">
      <c r="A45" s="7" t="n">
        <v>43</v>
      </c>
      <c r="B45" s="14" t="inlineStr">
        <is>
          <t>6. Decisão</t>
        </is>
      </c>
      <c r="C45" s="7" t="inlineStr">
        <is>
          <t>Decisão: KILL / OTIMIZAR / SCALE</t>
        </is>
      </c>
      <c r="D45" s="7" t="inlineStr">
        <is>
          <t>Seguir regras da aba 08 (não achismo)</t>
        </is>
      </c>
      <c r="E45" s="9" t="inlineStr">
        <is>
          <t>PENDENTE</t>
        </is>
      </c>
      <c r="F45" s="7" t="inlineStr"/>
    </row>
    <row r="46" ht="32" customHeight="1">
      <c r="A46" s="7" t="n">
        <v>44</v>
      </c>
      <c r="B46" s="14" t="inlineStr">
        <is>
          <t>6. Decisão</t>
        </is>
      </c>
      <c r="C46" s="7" t="inlineStr">
        <is>
          <t>Documentar aprendizado (ângulo × keyword × oferta)</t>
        </is>
      </c>
      <c r="D46" s="7" t="inlineStr">
        <is>
          <t>Notas para próximo teste</t>
        </is>
      </c>
      <c r="E46" s="9" t="inlineStr">
        <is>
          <t>PENDENTE</t>
        </is>
      </c>
      <c r="F46" s="7" t="inlineStr"/>
    </row>
    <row r="47" ht="32" customHeight="1">
      <c r="A47" s="7" t="n">
        <v>45</v>
      </c>
      <c r="B47" s="14" t="inlineStr">
        <is>
          <t>6. Decisão</t>
        </is>
      </c>
      <c r="C47" s="7" t="inlineStr">
        <is>
          <t>Se SCALE: subir budget 20–30% e clonar o que funciona</t>
        </is>
      </c>
      <c r="D47" s="7" t="inlineStr">
        <is>
          <t>Não 5x no dia seguinte</t>
        </is>
      </c>
      <c r="E47" s="9" t="inlineStr">
        <is>
          <t>PENDENTE</t>
        </is>
      </c>
      <c r="F47" s="7" t="inlineStr"/>
    </row>
    <row r="49">
      <c r="A49" t="inlineStr">
        <is>
          <t>Progresso OK:</t>
        </is>
      </c>
      <c r="B49" s="15">
        <f>COUNTIF(E3:E47,"OK")&amp;" / "&amp;COUNTA(E3:E47)</f>
        <v/>
      </c>
    </row>
  </sheetData>
  <mergeCells count="1">
    <mergeCell ref="A1:F1"/>
  </mergeCells>
  <dataValidations count="1">
    <dataValidation sqref="E3:E47" showDropDown="0" showInputMessage="0" showErrorMessage="0" allowBlank="1" type="list">
      <formula1>"PENDENTE,EM ANDAMENTO,OK,BLOQUEADO,N/A"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45" customWidth="1" min="3" max="3"/>
  </cols>
  <sheetData>
    <row r="1">
      <c r="A1" s="6" t="inlineStr">
        <is>
          <t>CADASTRO DO PRODUTO CLICKBANK (fonte da verdade)</t>
        </is>
      </c>
    </row>
    <row r="2">
      <c r="A2" s="4" t="inlineStr">
        <is>
          <t>Campo</t>
        </is>
      </c>
      <c r="B2" s="4" t="inlineStr">
        <is>
          <t>Valor (preencha amarelo)</t>
        </is>
      </c>
      <c r="C2" s="4" t="inlineStr">
        <is>
          <t>Onde achar / nota</t>
        </is>
      </c>
    </row>
    <row r="3" ht="22" customHeight="1">
      <c r="A3" s="7" t="inlineStr">
        <is>
          <t>Nome do produto</t>
        </is>
      </c>
      <c r="B3" s="9" t="inlineStr"/>
      <c r="C3" s="7" t="inlineStr">
        <is>
          <t>Marketplace / vendor</t>
        </is>
      </c>
    </row>
    <row r="4" ht="22" customHeight="1">
      <c r="A4" s="7" t="inlineStr">
        <is>
          <t>ClickBank Offer / Product ID</t>
        </is>
      </c>
      <c r="B4" s="9" t="inlineStr"/>
      <c r="C4" s="7" t="inlineStr">
        <is>
          <t>Hop link / account</t>
        </is>
      </c>
    </row>
    <row r="5" ht="22" customHeight="1">
      <c r="A5" s="7" t="inlineStr">
        <is>
          <t>Categoria / Vertical</t>
        </is>
      </c>
      <c r="B5" s="9" t="inlineStr"/>
      <c r="C5" s="7" t="inlineStr">
        <is>
          <t>Health, Finance, Software, etc.</t>
        </is>
      </c>
    </row>
    <row r="6" ht="22" customHeight="1">
      <c r="A6" s="7" t="inlineStr">
        <is>
          <t>Seu nickname ClickBank</t>
        </is>
      </c>
      <c r="B6" s="9" t="inlineStr"/>
      <c r="C6" s="7" t="inlineStr">
        <is>
          <t>Account settings</t>
        </is>
      </c>
    </row>
    <row r="7" ht="22" customHeight="1">
      <c r="A7" s="7" t="inlineStr">
        <is>
          <t>Hop Link principal</t>
        </is>
      </c>
      <c r="B7" s="9" t="inlineStr"/>
      <c r="C7" s="7" t="inlineStr">
        <is>
          <t>Promote → create hop</t>
        </is>
      </c>
    </row>
    <row r="8" ht="22" customHeight="1">
      <c r="A8" s="7" t="inlineStr">
        <is>
          <t>Hop Link com tracking (tid/aff se usar)</t>
        </is>
      </c>
      <c r="B8" s="9" t="inlineStr"/>
      <c r="C8" s="7" t="inlineStr">
        <is>
          <t>Parâmetros permitidos</t>
        </is>
      </c>
    </row>
    <row r="9" ht="22" customHeight="1">
      <c r="A9" s="7" t="inlineStr">
        <is>
          <t>URL da VSL / sales page do vendor</t>
        </is>
      </c>
      <c r="B9" s="9" t="inlineStr"/>
      <c r="C9" s="7" t="inlineStr">
        <is>
          <t>Testar mobile</t>
        </is>
      </c>
    </row>
    <row r="10" ht="22" customHeight="1">
      <c r="A10" s="7" t="inlineStr">
        <is>
          <t>Comissão % ou $ por venda front-end</t>
        </is>
      </c>
      <c r="B10" s="9" t="inlineStr"/>
      <c r="C10" s="7" t="inlineStr">
        <is>
          <t>Marketplace stats</t>
        </is>
      </c>
    </row>
    <row r="11" ht="22" customHeight="1">
      <c r="A11" s="7" t="inlineStr">
        <is>
          <t>AOV estimado (com upsells)</t>
        </is>
      </c>
      <c r="B11" s="9" t="inlineStr"/>
      <c r="C11" s="7" t="inlineStr">
        <is>
          <t>Avg $/sale se disponível</t>
        </is>
      </c>
    </row>
    <row r="12" ht="22" customHeight="1">
      <c r="A12" s="7" t="inlineStr">
        <is>
          <t>Comissão média estimada por venda (USD)</t>
        </is>
      </c>
      <c r="B12" s="9" t="inlineStr"/>
      <c r="C12" s="7" t="inlineStr">
        <is>
          <t>Usar no break-even</t>
        </is>
      </c>
    </row>
    <row r="13" ht="22" customHeight="1">
      <c r="A13" s="7" t="inlineStr">
        <is>
          <t>Gravity (se disponível)</t>
        </is>
      </c>
      <c r="B13" s="9" t="inlineStr"/>
      <c r="C13" s="7" t="inlineStr">
        <is>
          <t>Marketplace</t>
        </is>
      </c>
    </row>
    <row r="14" ht="22" customHeight="1">
      <c r="A14" s="7" t="inlineStr">
        <is>
          <t>EPC marketplace (referência só)</t>
        </is>
      </c>
      <c r="B14" s="9" t="inlineStr"/>
      <c r="C14" s="7" t="inlineStr">
        <is>
          <t>NÃO é o seu EPC</t>
        </is>
      </c>
    </row>
    <row r="15" ht="22" customHeight="1">
      <c r="A15" s="7" t="inlineStr">
        <is>
          <t>Cookie duration</t>
        </is>
      </c>
      <c r="B15" s="9" t="inlineStr"/>
      <c r="C15" s="7" t="inlineStr">
        <is>
          <t>Vendor / CB</t>
        </is>
      </c>
    </row>
    <row r="16" ht="22" customHeight="1">
      <c r="A16" s="7" t="inlineStr">
        <is>
          <t>Geos permitidos</t>
        </is>
      </c>
      <c r="B16" s="9" t="inlineStr"/>
      <c r="C16" s="7" t="inlineStr">
        <is>
          <t>Vendor Terms</t>
        </is>
      </c>
    </row>
    <row r="17" ht="22" customHeight="1">
      <c r="A17" s="7" t="inlineStr">
        <is>
          <t>Geos do SEU teste</t>
        </is>
      </c>
      <c r="B17" s="9" t="inlineStr"/>
      <c r="C17" s="7" t="inlineStr">
        <is>
          <t>Ex: US only</t>
        </is>
      </c>
    </row>
    <row r="18" ht="22" customHeight="1">
      <c r="A18" s="7" t="inlineStr">
        <is>
          <t>Devices</t>
        </is>
      </c>
      <c r="B18" s="9" t="inlineStr"/>
      <c r="C18" s="7" t="inlineStr">
        <is>
          <t>Mobile / Desktop / Both</t>
        </is>
      </c>
    </row>
    <row r="19" ht="22" customHeight="1">
      <c r="A19" s="7" t="inlineStr">
        <is>
          <t>Google Search permitido?</t>
        </is>
      </c>
      <c r="B19" s="9" t="inlineStr"/>
      <c r="C19" s="7" t="inlineStr">
        <is>
          <t>SIM/NÃO — Vendor Terms</t>
        </is>
      </c>
    </row>
    <row r="20" ht="22" customHeight="1">
      <c r="A20" s="7" t="inlineStr">
        <is>
          <t>Trademark bidding</t>
        </is>
      </c>
      <c r="B20" s="9" t="inlineStr"/>
      <c r="C20" s="7" t="inlineStr">
        <is>
          <t>OK / PROIBIDO</t>
        </is>
      </c>
    </row>
    <row r="21" ht="22" customHeight="1">
      <c r="A21" s="7" t="inlineStr">
        <is>
          <t>Direct linking permitido?</t>
        </is>
      </c>
      <c r="B21" s="9" t="inlineStr"/>
      <c r="C21" s="7" t="inlineStr">
        <is>
          <t>Muitas health: prefira bridge</t>
        </is>
      </c>
    </row>
    <row r="22" ht="22" customHeight="1">
      <c r="A22" s="7" t="inlineStr">
        <is>
          <t>Claims proibidos (liste)</t>
        </is>
      </c>
      <c r="B22" s="9" t="inlineStr"/>
      <c r="C22" s="7" t="inlineStr">
        <is>
          <t>Vendor Terms</t>
        </is>
      </c>
    </row>
    <row r="23" ht="22" customHeight="1">
      <c r="A23" s="7" t="inlineStr">
        <is>
          <t>Refund policy / janela</t>
        </is>
      </c>
      <c r="B23" s="9" t="inlineStr"/>
      <c r="C23" s="7" t="inlineStr">
        <is>
          <t>Impacta lucro real</t>
        </is>
      </c>
    </row>
    <row r="24" ht="22" customHeight="1">
      <c r="A24" s="7" t="inlineStr">
        <is>
          <t>Refund % estimado a usar no cálculo</t>
        </is>
      </c>
      <c r="B24" s="9" t="inlineStr">
        <is>
          <t>10</t>
        </is>
      </c>
      <c r="C24" s="7" t="inlineStr">
        <is>
          <t>% conservador se não souber</t>
        </is>
      </c>
    </row>
    <row r="25" ht="22" customHeight="1">
      <c r="A25" s="7" t="inlineStr">
        <is>
          <t>Data de aprovação para promover</t>
        </is>
      </c>
      <c r="B25" s="9" t="inlineStr"/>
      <c r="C25" s="7" t="inlineStr"/>
    </row>
    <row r="26" ht="22" customHeight="1">
      <c r="A26" s="7" t="inlineStr">
        <is>
          <t>URL da SUA pré-sell</t>
        </is>
      </c>
      <c r="B26" s="9" t="inlineStr"/>
      <c r="C26" s="7" t="inlineStr">
        <is>
          <t>Final URL dos ads</t>
        </is>
      </c>
    </row>
    <row r="27" ht="22" customHeight="1">
      <c r="A27" s="7" t="inlineStr">
        <is>
          <t>Status da pré-sell</t>
        </is>
      </c>
      <c r="B27" s="9" t="inlineStr">
        <is>
          <t>EM CONSTRUÇÃO</t>
        </is>
      </c>
      <c r="C27" s="7" t="inlineStr">
        <is>
          <t>EM CONSTRUÇÃO / PRONTA / NO AR</t>
        </is>
      </c>
    </row>
    <row r="28" ht="22" customHeight="1">
      <c r="A28" s="7" t="inlineStr">
        <is>
          <t>Observações críticas</t>
        </is>
      </c>
      <c r="B28" s="9" t="inlineStr"/>
      <c r="C28" s="7" t="inlineStr"/>
    </row>
    <row r="29" ht="22" customHeight="1"/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0" customWidth="1" min="3" max="3"/>
    <col width="45" customWidth="1" min="4" max="4"/>
    <col width="12" customWidth="1" min="5" max="5"/>
  </cols>
  <sheetData>
    <row r="1">
      <c r="A1" s="6" t="inlineStr">
        <is>
          <t>ANTI-STRIKE CLICKBANK + GOOGLE ADS — CHECKLIST DE COMPLIANCE</t>
        </is>
      </c>
    </row>
    <row r="2">
      <c r="A2" s="16" t="inlineStr">
        <is>
          <t>Strike no ClickBank e ban no Google destroem a operação. Esta aba é OBRIGATÓRIA antes de gastar.</t>
        </is>
      </c>
    </row>
    <row r="3">
      <c r="A3" s="4" t="inlineStr">
        <is>
          <t>#</t>
        </is>
      </c>
      <c r="B3" s="4" t="inlineStr">
        <is>
          <t>Regra</t>
        </is>
      </c>
      <c r="C3" s="4" t="inlineStr">
        <is>
          <t>Por que importa</t>
        </is>
      </c>
      <c r="D3" s="4" t="inlineStr">
        <is>
          <t>Como garantir</t>
        </is>
      </c>
      <c r="E3" s="4" t="inlineStr">
        <is>
          <t>OK?</t>
        </is>
      </c>
    </row>
    <row r="4" ht="36" customHeight="1">
      <c r="A4" s="7" t="n">
        <v>1</v>
      </c>
      <c r="B4" s="7" t="inlineStr">
        <is>
          <t>Ler e seguir ClickBank Client Contract + Vendor Terms da oferta</t>
        </is>
      </c>
      <c r="C4" s="7" t="inlineStr">
        <is>
          <t>Strike/account termination</t>
        </is>
      </c>
      <c r="D4" s="7" t="inlineStr">
        <is>
          <t>Salvar PDF/print dos terms; checklist assinado mentalmente</t>
        </is>
      </c>
      <c r="E4" s="9" t="inlineStr">
        <is>
          <t>PENDENTE</t>
        </is>
      </c>
    </row>
    <row r="5" ht="36" customHeight="1">
      <c r="A5" s="7" t="n">
        <v>2</v>
      </c>
      <c r="B5" s="7" t="inlineStr">
        <is>
          <t>Proibido: claims de cura, diagnóstico, resultados garantidos em health</t>
        </is>
      </c>
      <c r="C5" s="7" t="inlineStr">
        <is>
          <t>Policy CB + Google Healthcare</t>
        </is>
      </c>
      <c r="D5" s="7" t="inlineStr">
        <is>
          <t>Usar linguagem: 'pode ajudar', 'muitos relatam', 'consulte profissional'</t>
        </is>
      </c>
      <c r="E5" s="9" t="inlineStr">
        <is>
          <t>PENDENTE</t>
        </is>
      </c>
    </row>
    <row r="6" ht="36" customHeight="1">
      <c r="A6" s="7" t="n">
        <v>3</v>
      </c>
      <c r="B6" s="7" t="inlineStr">
        <is>
          <t>Proibido: renda garantida / 'fique rico' enganoso em make-money</t>
        </is>
      </c>
      <c r="C6" s="7" t="inlineStr">
        <is>
          <t>Financial + CB</t>
        </is>
      </c>
      <c r="D6" s="7" t="inlineStr">
        <is>
          <t>Sem números de renda sem disclaimer forte e prova</t>
        </is>
      </c>
      <c r="E6" s="9" t="inlineStr">
        <is>
          <t>PENDENTE</t>
        </is>
      </c>
    </row>
    <row r="7" ht="36" customHeight="1">
      <c r="A7" s="7" t="n">
        <v>4</v>
      </c>
      <c r="B7" s="7" t="inlineStr">
        <is>
          <t>Proibido: cloaking, misleading redirects, cookie stuffing</t>
        </is>
      </c>
      <c r="C7" s="7" t="inlineStr">
        <is>
          <t>Ban permanente CB e Google</t>
        </is>
      </c>
      <c r="D7" s="7" t="inlineStr">
        <is>
          <t>Mesma LP para todos; sem scripts de engano</t>
        </is>
      </c>
      <c r="E7" s="9" t="inlineStr">
        <is>
          <t>PENDENTE</t>
        </is>
      </c>
    </row>
    <row r="8" ht="36" customHeight="1">
      <c r="A8" s="7" t="n">
        <v>5</v>
      </c>
      <c r="B8" s="7" t="inlineStr">
        <is>
          <t>Proibido: incentivar chargebacks ou fraudar tracking</t>
        </is>
      </c>
      <c r="C8" s="7" t="inlineStr">
        <is>
          <t>Account kill</t>
        </is>
      </c>
      <c r="D8" s="7" t="inlineStr">
        <is>
          <t>Só tráfego real de usuários</t>
        </is>
      </c>
      <c r="E8" s="9" t="inlineStr">
        <is>
          <t>PENDENTE</t>
        </is>
      </c>
    </row>
    <row r="9" ht="36" customHeight="1">
      <c r="A9" s="7" t="n">
        <v>6</v>
      </c>
      <c r="B9" s="7" t="inlineStr">
        <is>
          <t>Não impersonar o vendor / site oficial falso</t>
        </is>
      </c>
      <c r="C9" s="7" t="inlineStr">
        <is>
          <t>Trademark + misrepresentation</t>
        </is>
      </c>
      <c r="D9" s="7" t="inlineStr">
        <is>
          <t>Pré-sell como review/guia de terceiros, não 'site oficial'</t>
        </is>
      </c>
      <c r="E9" s="9" t="inlineStr">
        <is>
          <t>PENDENTE</t>
        </is>
      </c>
    </row>
    <row r="10" ht="36" customHeight="1">
      <c r="A10" s="7" t="n">
        <v>7</v>
      </c>
      <c r="B10" s="7" t="inlineStr">
        <is>
          <t>Trademark: não biddar marca do produto se proibido</t>
        </is>
      </c>
      <c r="C10" s="7" t="inlineStr">
        <is>
          <t>Vendor complaint → strike</t>
        </is>
      </c>
      <c r="D10" s="7" t="inlineStr">
        <is>
          <t>Negativas de marca + não usar marca nos ads se proibido</t>
        </is>
      </c>
      <c r="E10" s="9" t="inlineStr">
        <is>
          <t>PENDENTE</t>
        </is>
      </c>
    </row>
    <row r="11" ht="36" customHeight="1">
      <c r="A11" s="7" t="n">
        <v>8</v>
      </c>
      <c r="B11" s="7" t="inlineStr">
        <is>
          <t>Disclaimer de afiliado claro e visível</t>
        </is>
      </c>
      <c r="C11" s="7" t="inlineStr">
        <is>
          <t>Transparência FTC-style + CB</t>
        </is>
      </c>
      <c r="D11" s="7" t="inlineStr">
        <is>
          <t>Topo ou perto do 1º CTA + rodapé</t>
        </is>
      </c>
      <c r="E11" s="9" t="inlineStr">
        <is>
          <t>PENDENTE</t>
        </is>
      </c>
    </row>
    <row r="12" ht="36" customHeight="1">
      <c r="A12" s="7" t="n">
        <v>9</v>
      </c>
      <c r="B12" s="7" t="inlineStr">
        <is>
          <t>Antes/depois e depoimentos: só reais e com contexto</t>
        </is>
      </c>
      <c r="C12" s="7" t="inlineStr">
        <is>
          <t>Misleading</t>
        </is>
      </c>
      <c r="D12" s="7" t="inlineStr">
        <is>
          <t>Sem fotos stock 'milagre'; sem fabricar reviews</t>
        </is>
      </c>
      <c r="E12" s="9" t="inlineStr">
        <is>
          <t>PENDENTE</t>
        </is>
      </c>
    </row>
    <row r="13" ht="36" customHeight="1">
      <c r="A13" s="7" t="n">
        <v>10</v>
      </c>
      <c r="B13" s="7" t="inlineStr">
        <is>
          <t>Página com Privacy Policy, termos e contato</t>
        </is>
      </c>
      <c r="C13" s="7" t="inlineStr">
        <is>
          <t>Google landing page quality</t>
        </is>
      </c>
      <c r="D13" s="7" t="inlineStr">
        <is>
          <t>Links no footer</t>
        </is>
      </c>
      <c r="E13" s="9" t="inlineStr">
        <is>
          <t>PENDENTE</t>
        </is>
      </c>
    </row>
    <row r="14" ht="36" customHeight="1">
      <c r="A14" s="7" t="n">
        <v>11</v>
      </c>
      <c r="B14" s="7" t="inlineStr">
        <is>
          <t>Não usar 'free' enganoso se não for free</t>
        </is>
      </c>
      <c r="C14" s="7" t="inlineStr">
        <is>
          <t>Google misrepresentation</t>
        </is>
      </c>
      <c r="D14" s="7" t="inlineStr">
        <is>
          <t>Preço/garantia honestos</t>
        </is>
      </c>
      <c r="E14" s="9" t="inlineStr">
        <is>
          <t>PENDENTE</t>
        </is>
      </c>
    </row>
    <row r="15" ht="36" customHeight="1">
      <c r="A15" s="7" t="n">
        <v>12</v>
      </c>
      <c r="B15" s="7" t="inlineStr">
        <is>
          <t>Hop link correto — não roubar comissão / hop de terceiros</t>
        </is>
      </c>
      <c r="C15" s="7" t="inlineStr">
        <is>
          <t>Violação CB</t>
        </is>
      </c>
      <c r="D15" s="7" t="inlineStr">
        <is>
          <t>Só SEU hop</t>
        </is>
      </c>
      <c r="E15" s="9" t="inlineStr">
        <is>
          <t>PENDENTE</t>
        </is>
      </c>
    </row>
    <row r="16" ht="36" customHeight="1">
      <c r="A16" s="7" t="n">
        <v>13</v>
      </c>
      <c r="B16" s="7" t="inlineStr">
        <is>
          <t>Tráfego de bots / incentivos pagos sem qualidade</t>
        </is>
      </c>
      <c r="C16" s="7" t="inlineStr">
        <is>
          <t>Traffic quality flags</t>
        </is>
      </c>
      <c r="D16" s="7" t="inlineStr">
        <is>
          <t>Google Ads search real; sem incentivar cliques falsos</t>
        </is>
      </c>
      <c r="E16" s="9" t="inlineStr">
        <is>
          <t>PENDENTE</t>
        </is>
      </c>
    </row>
    <row r="17" ht="36" customHeight="1">
      <c r="A17" s="7" t="n">
        <v>14</v>
      </c>
      <c r="B17" s="7" t="inlineStr">
        <is>
          <t>Geos e devices só onde a oferta aceita</t>
        </is>
      </c>
      <c r="C17" s="7" t="inlineStr">
        <is>
          <t>Vendor terms</t>
        </is>
      </c>
      <c r="D17" s="7" t="inlineStr">
        <is>
          <t>Campanha limitada ao geo permitido</t>
        </is>
      </c>
      <c r="E17" s="9" t="inlineStr">
        <is>
          <t>PENDENTE</t>
        </is>
      </c>
    </row>
    <row r="18" ht="36" customHeight="1">
      <c r="A18" s="7" t="n">
        <v>15</v>
      </c>
      <c r="B18" s="7" t="inlineStr">
        <is>
          <t>Não prometer o que a sales page não entrega</t>
        </is>
      </c>
      <c r="C18" s="7" t="inlineStr">
        <is>
          <t>Complaints + refunds + strikes</t>
        </is>
      </c>
      <c r="D18" s="7" t="inlineStr">
        <is>
          <t>Alinhar ângulo da bridge com a VSL real</t>
        </is>
      </c>
      <c r="E18" s="9" t="inlineStr">
        <is>
          <t>PENDENTE</t>
        </is>
      </c>
    </row>
    <row r="19" ht="36" customHeight="1">
      <c r="A19" s="7" t="n">
        <v>16</v>
      </c>
      <c r="B19" s="7" t="inlineStr">
        <is>
          <t>Google: sem conteúdo adulto/armas/etc. se não aplicável</t>
        </is>
      </c>
      <c r="C19" s="7" t="inlineStr">
        <is>
          <t>Account suspension</t>
        </is>
      </c>
      <c r="D19" s="7" t="inlineStr">
        <is>
          <t>Vertical permitida no Google no seu país-alvo</t>
        </is>
      </c>
      <c r="E19" s="9" t="inlineStr">
        <is>
          <t>PENDENTE</t>
        </is>
      </c>
    </row>
    <row r="20" ht="36" customHeight="1">
      <c r="A20" s="7" t="n">
        <v>17</v>
      </c>
      <c r="B20" s="7" t="inlineStr">
        <is>
          <t>Evitar 'guaranteed', '100%', 'instant cure', 'risk-free wealth'</t>
        </is>
      </c>
      <c r="C20" s="7" t="inlineStr">
        <is>
          <t>Auto-flag ads</t>
        </is>
      </c>
      <c r="D20" s="7" t="inlineStr">
        <is>
          <t>Palavras suaves e honestas</t>
        </is>
      </c>
      <c r="E20" s="9" t="inlineStr">
        <is>
          <t>PENDENTE</t>
        </is>
      </c>
    </row>
    <row r="21" ht="36" customHeight="1">
      <c r="A21" s="7" t="n">
        <v>18</v>
      </c>
      <c r="B21" s="7" t="inlineStr">
        <is>
          <t>Documentar mudanças de copy se a oferta mudar terms</t>
        </is>
      </c>
      <c r="C21" s="7" t="inlineStr">
        <is>
          <t>Compliance contínuo</t>
        </is>
      </c>
      <c r="D21" s="7" t="inlineStr">
        <is>
          <t>Revisar terms a cada escala</t>
        </is>
      </c>
      <c r="E21" s="9" t="inlineStr">
        <is>
          <t>PENDENTE</t>
        </is>
      </c>
    </row>
    <row r="22" ht="36" customHeight="1">
      <c r="A22" s="7" t="n">
        <v>19</v>
      </c>
      <c r="B22" s="7" t="inlineStr">
        <is>
          <t>Refund/customer support: não atrapalhar o comprador</t>
        </is>
      </c>
      <c r="C22" s="7" t="inlineStr">
        <is>
          <t>Complaints elevam risco</t>
        </is>
      </c>
      <c r="D22" s="7" t="inlineStr">
        <is>
          <t>Não sumir com info de garantia real do vendor</t>
        </is>
      </c>
      <c r="E22" s="9" t="inlineStr">
        <is>
          <t>PENDENTE</t>
        </is>
      </c>
    </row>
    <row r="23" ht="36" customHeight="1">
      <c r="A23" s="7" t="n">
        <v>20</v>
      </c>
      <c r="B23" s="7" t="inlineStr">
        <is>
          <t>Se anúncio for disapproved: corrigir causa, não contornar com cloaking</t>
        </is>
      </c>
      <c r="C23" s="7" t="inlineStr">
        <is>
          <t>Ban risk</t>
        </is>
      </c>
      <c r="D23" s="7" t="inlineStr">
        <is>
          <t>Editar copy/LP; apelar só se legítimo</t>
        </is>
      </c>
      <c r="E23" s="9" t="inlineStr">
        <is>
          <t>PENDENTE</t>
        </is>
      </c>
    </row>
    <row r="25">
      <c r="A25" s="17" t="inlineStr">
        <is>
          <t>Só avance para gastar se TODOS os itens críticos estiverem OK (especialmente 1–8, 12, 14).</t>
        </is>
      </c>
    </row>
  </sheetData>
  <mergeCells count="3">
    <mergeCell ref="A2:E2"/>
    <mergeCell ref="A1:E1"/>
    <mergeCell ref="A25:E25"/>
  </mergeCells>
  <dataValidations count="1">
    <dataValidation sqref="E4:E23" showDropDown="0" showInputMessage="0" showErrorMessage="0" allowBlank="1" type="list">
      <formula1>"PENDENTE,OK,N/A"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55" customWidth="1" min="3" max="3"/>
    <col width="12" customWidth="1" min="4" max="4"/>
  </cols>
  <sheetData>
    <row r="1">
      <c r="A1" s="6" t="inlineStr">
        <is>
          <t>CHECKLIST DA PÁGINA PRÉ-SELL (BRIDGE) — ESTRUTURA PERFEITA</t>
        </is>
      </c>
    </row>
    <row r="2">
      <c r="A2" s="4" t="inlineStr">
        <is>
          <t>#</t>
        </is>
      </c>
      <c r="B2" s="4" t="inlineStr">
        <is>
          <t>Elemento</t>
        </is>
      </c>
      <c r="C2" s="4" t="inlineStr">
        <is>
          <t>Critério de pronto</t>
        </is>
      </c>
      <c r="D2" s="4" t="inlineStr">
        <is>
          <t>Status</t>
        </is>
      </c>
    </row>
    <row r="3">
      <c r="A3" s="18" t="n">
        <v>1</v>
      </c>
      <c r="B3" s="7" t="inlineStr">
        <is>
          <t>H1 alinhado à keyword principal</t>
        </is>
      </c>
      <c r="C3" s="7" t="inlineStr">
        <is>
          <t>Mesma intenção do anúncio (problema ou comparação)</t>
        </is>
      </c>
      <c r="D3" s="19" t="inlineStr">
        <is>
          <t>PENDENTE</t>
        </is>
      </c>
    </row>
    <row r="4">
      <c r="A4" s="18" t="n">
        <v>2</v>
      </c>
      <c r="B4" s="7" t="inlineStr">
        <is>
          <t>Subhead com benefício específico (sem milagre)</t>
        </is>
      </c>
      <c r="C4" s="7" t="inlineStr">
        <is>
          <t>1 frase clara</t>
        </is>
      </c>
      <c r="D4" s="19" t="inlineStr">
        <is>
          <t>PENDENTE</t>
        </is>
      </c>
    </row>
    <row r="5">
      <c r="A5" s="18" t="n">
        <v>3</v>
      </c>
      <c r="B5" s="7" t="inlineStr">
        <is>
          <t>Abertura com empatia / dor</t>
        </is>
      </c>
      <c r="C5" s="7" t="inlineStr">
        <is>
          <t>Leitor se reconhece em 5 segundos</t>
        </is>
      </c>
      <c r="D5" s="19" t="inlineStr">
        <is>
          <t>PENDENTE</t>
        </is>
      </c>
    </row>
    <row r="6">
      <c r="A6" s="18" t="n">
        <v>4</v>
      </c>
      <c r="B6" s="7" t="inlineStr">
        <is>
          <t>Mecanismo / o que é a solução</t>
        </is>
      </c>
      <c r="C6" s="7" t="inlineStr">
        <is>
          <t>Explica sem copiar claims ilegais da VSL</t>
        </is>
      </c>
      <c r="D6" s="19" t="inlineStr">
        <is>
          <t>PENDENTE</t>
        </is>
      </c>
    </row>
    <row r="7">
      <c r="A7" s="18" t="n">
        <v>5</v>
      </c>
      <c r="B7" s="7" t="inlineStr">
        <is>
          <t>Para quem é / para quem NÃO é</t>
        </is>
      </c>
      <c r="C7" s="7" t="inlineStr">
        <is>
          <t>Aumenta confiança e reduz refund</t>
        </is>
      </c>
      <c r="D7" s="19" t="inlineStr">
        <is>
          <t>PENDENTE</t>
        </is>
      </c>
    </row>
    <row r="8">
      <c r="A8" s="18" t="n">
        <v>6</v>
      </c>
      <c r="B8" s="7" t="inlineStr">
        <is>
          <t>Prós e contras honestos</t>
        </is>
      </c>
      <c r="C8" s="7" t="inlineStr">
        <is>
          <t>Pelo menos 2 contras reais</t>
        </is>
      </c>
      <c r="D8" s="19" t="inlineStr">
        <is>
          <t>PENDENTE</t>
        </is>
      </c>
    </row>
    <row r="9">
      <c r="A9" s="18" t="n">
        <v>7</v>
      </c>
      <c r="B9" s="7" t="inlineStr">
        <is>
          <t>Como funciona (passos simples)</t>
        </is>
      </c>
      <c r="C9" s="7" t="inlineStr">
        <is>
          <t>3–5 passos</t>
        </is>
      </c>
      <c r="D9" s="19" t="inlineStr">
        <is>
          <t>PENDENTE</t>
        </is>
      </c>
    </row>
    <row r="10">
      <c r="A10" s="18" t="n">
        <v>8</v>
      </c>
      <c r="B10" s="7" t="inlineStr">
        <is>
          <t>Prova social realista</t>
        </is>
      </c>
      <c r="C10" s="7" t="inlineStr">
        <is>
          <t>Sem fabricar; se não tiver, foque em lógica + garantia do vendor</t>
        </is>
      </c>
      <c r="D10" s="19" t="inlineStr">
        <is>
          <t>PENDENTE</t>
        </is>
      </c>
    </row>
    <row r="11">
      <c r="A11" s="18" t="n">
        <v>9</v>
      </c>
      <c r="B11" s="7" t="inlineStr">
        <is>
          <t>Objeções (FAQ) — 4 a 7 perguntas</t>
        </is>
      </c>
      <c r="C11" s="7" t="inlineStr">
        <is>
          <t>Preço, garantia, tempo, para quem é, efeitos, reembolso</t>
        </is>
      </c>
      <c r="D11" s="19" t="inlineStr">
        <is>
          <t>PENDENTE</t>
        </is>
      </c>
    </row>
    <row r="12">
      <c r="A12" s="18" t="n">
        <v>10</v>
      </c>
      <c r="B12" s="7" t="inlineStr">
        <is>
          <t>CTA principal acima da dobra (mobile)</t>
        </is>
      </c>
      <c r="C12" s="7" t="inlineStr">
        <is>
          <t>Botão claro: 'Ver oferta oficial' / 'Continuar'</t>
        </is>
      </c>
      <c r="D12" s="19" t="inlineStr">
        <is>
          <t>PENDENTE</t>
        </is>
      </c>
    </row>
    <row r="13">
      <c r="A13" s="18" t="n">
        <v>11</v>
      </c>
      <c r="B13" s="7" t="inlineStr">
        <is>
          <t>CTA repetido no meio e no fim</t>
        </is>
      </c>
      <c r="C13" s="7" t="inlineStr">
        <is>
          <t>Mesmo hop link</t>
        </is>
      </c>
      <c r="D13" s="19" t="inlineStr">
        <is>
          <t>PENDENTE</t>
        </is>
      </c>
    </row>
    <row r="14">
      <c r="A14" s="18" t="n">
        <v>12</v>
      </c>
      <c r="B14" s="7" t="inlineStr">
        <is>
          <t>Hop link ClickBank correto nos CTAs</t>
        </is>
      </c>
      <c r="C14" s="7" t="inlineStr">
        <is>
          <t>Testado em anônimo; tid se usar</t>
        </is>
      </c>
      <c r="D14" s="19" t="inlineStr">
        <is>
          <t>PENDENTE</t>
        </is>
      </c>
    </row>
    <row r="15">
      <c r="A15" s="18" t="n">
        <v>13</v>
      </c>
      <c r="B15" s="7" t="inlineStr">
        <is>
          <t>Disclaimer afiliado</t>
        </is>
      </c>
      <c r="C15" s="7" t="inlineStr">
        <is>
          <t>Visível; 'posso receber comissão'; resultados variam</t>
        </is>
      </c>
      <c r="D15" s="19" t="inlineStr">
        <is>
          <t>PENDENTE</t>
        </is>
      </c>
    </row>
    <row r="16">
      <c r="A16" s="18" t="n">
        <v>14</v>
      </c>
      <c r="B16" s="7" t="inlineStr">
        <is>
          <t>Disclaimer health/finance se aplicável</t>
        </is>
      </c>
      <c r="C16" s="7" t="inlineStr">
        <is>
          <t>Não é conselho médico/financeiro</t>
        </is>
      </c>
      <c r="D16" s="19" t="inlineStr">
        <is>
          <t>PENDENTE</t>
        </is>
      </c>
    </row>
    <row r="17">
      <c r="A17" s="18" t="n">
        <v>15</v>
      </c>
      <c r="B17" s="7" t="inlineStr">
        <is>
          <t>Footer: Privacy, Contact, Affiliate disclosure</t>
        </is>
      </c>
      <c r="C17" s="7" t="inlineStr">
        <is>
          <t>Links vivos</t>
        </is>
      </c>
      <c r="D17" s="19" t="inlineStr">
        <is>
          <t>PENDENTE</t>
        </is>
      </c>
    </row>
    <row r="18">
      <c r="A18" s="18" t="n">
        <v>16</v>
      </c>
      <c r="B18" s="7" t="inlineStr">
        <is>
          <t>SSL + mobile responsivo</t>
        </is>
      </c>
      <c r="C18" s="7" t="inlineStr">
        <is>
          <t>Teste real iOS/Android</t>
        </is>
      </c>
      <c r="D18" s="19" t="inlineStr">
        <is>
          <t>PENDENTE</t>
        </is>
      </c>
    </row>
    <row r="19">
      <c r="A19" s="18" t="n">
        <v>17</v>
      </c>
      <c r="B19" s="7" t="inlineStr">
        <is>
          <t>Velocidade (imagens comprimidas)</t>
        </is>
      </c>
      <c r="C19" s="7" t="inlineStr">
        <is>
          <t>LCP aceitável; sem wall de scripts</t>
        </is>
      </c>
      <c r="D19" s="19" t="inlineStr">
        <is>
          <t>PENDENTE</t>
        </is>
      </c>
    </row>
    <row r="20">
      <c r="A20" s="18" t="n">
        <v>18</v>
      </c>
      <c r="B20" s="7" t="inlineStr">
        <is>
          <t>Sem pop-up full screen enganoso</t>
        </is>
      </c>
      <c r="C20" s="7" t="inlineStr">
        <is>
          <t>Google odia</t>
        </is>
      </c>
      <c r="D20" s="19" t="inlineStr">
        <is>
          <t>PENDENTE</t>
        </is>
      </c>
    </row>
    <row r="21">
      <c r="A21" s="18" t="n">
        <v>19</v>
      </c>
      <c r="B21" s="7" t="inlineStr">
        <is>
          <t>Consistência anúncio → H1 → CTA</t>
        </is>
      </c>
      <c r="C21" s="7" t="inlineStr">
        <is>
          <t>Message match (Quality Score)</t>
        </is>
      </c>
      <c r="D21" s="19" t="inlineStr">
        <is>
          <t>PENDENTE</t>
        </is>
      </c>
    </row>
    <row r="22">
      <c r="A22" s="18" t="n">
        <v>20</v>
      </c>
      <c r="B22" s="7" t="inlineStr">
        <is>
          <t>UM ângulo só (não 5 ofertas na mesma página)</t>
        </is>
      </c>
      <c r="C22" s="7" t="inlineStr">
        <is>
          <t>Foco = conversão</t>
        </is>
      </c>
      <c r="D22" s="19" t="inlineStr">
        <is>
          <t>PENDENTE</t>
        </is>
      </c>
    </row>
    <row r="23">
      <c r="A23" s="18" t="n">
        <v>21</v>
      </c>
      <c r="B23" s="7" t="inlineStr">
        <is>
          <t>Texto escaneável (H2, bullets curtos)</t>
        </is>
      </c>
      <c r="C23" s="7" t="inlineStr">
        <is>
          <t>Não muro de texto</t>
        </is>
      </c>
      <c r="D23" s="19" t="inlineStr">
        <is>
          <t>PENDENTE</t>
        </is>
      </c>
    </row>
    <row r="24">
      <c r="A24" s="18" t="n">
        <v>22</v>
      </c>
      <c r="B24" s="7" t="inlineStr">
        <is>
          <t>Idioma = geo do anúncio</t>
        </is>
      </c>
      <c r="C24" s="7" t="inlineStr">
        <is>
          <t>EN para US, etc.</t>
        </is>
      </c>
      <c r="D24" s="19" t="inlineStr">
        <is>
          <t>PENDENTE</t>
        </is>
      </c>
    </row>
    <row r="25">
      <c r="A25" s="18" t="n">
        <v>23</v>
      </c>
      <c r="B25" s="7" t="inlineStr">
        <is>
          <t>noindex se for só para ads (opcional)</t>
        </is>
      </c>
      <c r="C25" s="7" t="inlineStr">
        <is>
          <t>Evita SEO acidental de thin content</t>
        </is>
      </c>
      <c r="D25" s="19" t="inlineStr">
        <is>
          <t>PENDENTE</t>
        </is>
      </c>
    </row>
    <row r="26">
      <c r="A26" s="18" t="n">
        <v>24</v>
      </c>
      <c r="B26" s="7" t="inlineStr">
        <is>
          <t>Evento de clique no CTA (GTM/GA4)</t>
        </is>
      </c>
      <c r="C26" s="7" t="inlineStr">
        <is>
          <t>Microconversão no Google Ads</t>
        </is>
      </c>
      <c r="D26" s="19" t="inlineStr">
        <is>
          <t>PENDENTE</t>
        </is>
      </c>
    </row>
    <row r="27">
      <c r="A27" s="18" t="n">
        <v>25</v>
      </c>
      <c r="B27" s="7" t="inlineStr">
        <is>
          <t>Revisão final anti-strike (aba 03)</t>
        </is>
      </c>
      <c r="C27" s="7" t="inlineStr">
        <is>
          <t>Nenhum claim proibido</t>
        </is>
      </c>
      <c r="D27" s="19" t="inlineStr">
        <is>
          <t>PENDENTE</t>
        </is>
      </c>
    </row>
    <row r="30">
      <c r="A30" s="20" t="inlineStr">
        <is>
          <t>TEMPLATE RÁPIDO DE ESTRUTURA (copie para o seu builder)</t>
        </is>
      </c>
    </row>
    <row r="31" ht="200" customHeight="1">
      <c r="A31" s="2" t="inlineStr">
        <is>
          <t xml:space="preserve">H1: {Keyword / Problema}: O Que Saber Antes de Decidir (2026)
Sub: Análise direta, prós e contras e para quem faz sentido.
[Disclaimer afiliado curto]
1) O problema real (empatia)
2) O que a maioria tenta (e por que falha)
3) O que é [Produto] em linguagem simples
4) Como funciona (3 passos)
5) Prós
6) Contras (obrigatório)
7) Para quem é / não é
8) FAQ
9) CTA → Hop ClickBank
10) FAQ extra + disclaimer completo + privacy
CTA copy seguro: "Ver a oferta oficial" | "Continuar para a página do produto"
Evite: "Cura garantida", "Resultado em 24h 100%", "Fique rico agora"
</t>
        </is>
      </c>
    </row>
  </sheetData>
  <mergeCells count="3">
    <mergeCell ref="A1:D1"/>
    <mergeCell ref="A31:D31"/>
    <mergeCell ref="A30:D30"/>
  </mergeCells>
  <dataValidations count="1">
    <dataValidation sqref="D3:D27" showDropDown="0" showInputMessage="0" showErrorMessage="0" allowBlank="1" type="list">
      <formula1>"PENDENTE,OK,N/A"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28" customWidth="1" min="10" max="10"/>
  </cols>
  <sheetData>
    <row r="1">
      <c r="A1" s="6" t="inlineStr">
        <is>
          <t>KEYWORDS — PESQUISA + SHORTLIST PARA TESTE DE US$ 50</t>
        </is>
      </c>
    </row>
    <row r="2">
      <c r="A2" s="2" t="inlineStr">
        <is>
          <t>Meta do teste: 5–8 keywords phrase/exact. Não gaste $50 em 50 termos. Priorize intenção comercial/investigativa alta e CPC abaixo do break-even.</t>
        </is>
      </c>
    </row>
    <row r="3">
      <c r="A3" s="3" t="inlineStr">
        <is>
          <t>PROCESSO EM 6 PASSOS (faça na ordem)</t>
        </is>
      </c>
    </row>
    <row r="4">
      <c r="A4" t="inlineStr">
        <is>
          <t>1. Liste 10 problemas do avatar (sem nome do produto).</t>
        </is>
      </c>
    </row>
    <row r="5">
      <c r="A5" t="inlineStr">
        <is>
          <t>2. Liste 10 frases de solução / desejo / 'melhor jeito de…'.</t>
        </is>
      </c>
    </row>
    <row r="6">
      <c r="A6" t="inlineStr">
        <is>
          <t>3. Liste comparações: 'alternativa a X', 'X vs Y', 'review'.</t>
        </is>
      </c>
    </row>
    <row r="7">
      <c r="A7" t="inlineStr">
        <is>
          <t>4. Jogue no Google Keyword Planner (geo do teste) + autocomplete Google.</t>
        </is>
      </c>
    </row>
    <row r="8">
      <c r="A8" t="inlineStr">
        <is>
          <t>5. Anote volume, CPC estimado, competição; mate termos informativos puros ('o que é') se CPC alto e CVR costuma ser lixo.</t>
        </is>
      </c>
    </row>
    <row r="9">
      <c r="A9" t="inlineStr">
        <is>
          <t>6. Escolha 5–8 para o ad group; o resto fica no backlog. Crie 20+ negativas.</t>
        </is>
      </c>
    </row>
    <row r="11">
      <c r="A11" s="3" t="inlineStr">
        <is>
          <t>LISTA BRUTA → SCORE → SHORTLIST</t>
        </is>
      </c>
    </row>
    <row r="12">
      <c r="A12" s="4" t="inlineStr">
        <is>
          <t>Keyword</t>
        </is>
      </c>
      <c r="B12" s="4" t="inlineStr">
        <is>
          <t>Tipo intenção</t>
        </is>
      </c>
      <c r="C12" s="4" t="inlineStr">
        <is>
          <t>Match planejado</t>
        </is>
      </c>
      <c r="D12" s="4" t="inlineStr">
        <is>
          <t>Vol. mensal est.</t>
        </is>
      </c>
      <c r="E12" s="4" t="inlineStr">
        <is>
          <t>CPC est. (USD)</t>
        </is>
      </c>
      <c r="F12" s="4" t="inlineStr">
        <is>
          <t>Relevância 1-5</t>
        </is>
      </c>
      <c r="G12" s="4" t="inlineStr">
        <is>
          <t>CPC &lt; BreakEven?</t>
        </is>
      </c>
      <c r="H12" s="4" t="inlineStr">
        <is>
          <t>Prioridade</t>
        </is>
      </c>
      <c r="I12" s="4" t="inlineStr">
        <is>
          <t>Usar no teste $50?</t>
        </is>
      </c>
      <c r="J12" s="4" t="inlineStr">
        <is>
          <t>Notas</t>
        </is>
      </c>
    </row>
    <row r="13">
      <c r="A13" s="21" t="inlineStr">
        <is>
          <t>[exemplo] how to reduce belly fat naturally</t>
        </is>
      </c>
      <c r="B13" s="21" t="inlineStr">
        <is>
          <t>Problema</t>
        </is>
      </c>
      <c r="C13" s="21" t="inlineStr">
        <is>
          <t>Phrase</t>
        </is>
      </c>
      <c r="D13" s="21" t="n">
        <v>12000</v>
      </c>
      <c r="E13" s="21" t="n">
        <v>1.8</v>
      </c>
      <c r="F13" s="21" t="n">
        <v>5</v>
      </c>
      <c r="G13" s="21" t="inlineStr">
        <is>
          <t>SIM</t>
        </is>
      </c>
      <c r="H13" s="21" t="inlineStr">
        <is>
          <t>ALTA</t>
        </is>
      </c>
      <c r="I13" s="21" t="inlineStr">
        <is>
          <t>SIM</t>
        </is>
      </c>
      <c r="J13" s="21" t="inlineStr">
        <is>
          <t>Trocar pelo seu nicho</t>
        </is>
      </c>
    </row>
    <row r="14">
      <c r="A14" s="21" t="inlineStr">
        <is>
          <t>[exemplo] best natural weight loss supplement</t>
        </is>
      </c>
      <c r="B14" s="21" t="inlineStr">
        <is>
          <t>Solução</t>
        </is>
      </c>
      <c r="C14" s="21" t="inlineStr">
        <is>
          <t>Phrase</t>
        </is>
      </c>
      <c r="D14" s="21" t="n">
        <v>2400</v>
      </c>
      <c r="E14" s="21" t="n">
        <v>2.4</v>
      </c>
      <c r="F14" s="21" t="n">
        <v>4</v>
      </c>
      <c r="G14" s="21" t="inlineStr">
        <is>
          <t>VER</t>
        </is>
      </c>
      <c r="H14" s="21" t="inlineStr">
        <is>
          <t>MÉDIA</t>
        </is>
      </c>
      <c r="I14" s="21" t="inlineStr">
        <is>
          <t>SIM</t>
        </is>
      </c>
      <c r="J14" s="21" t="inlineStr"/>
    </row>
    <row r="15">
      <c r="A15" s="21" t="inlineStr">
        <is>
          <t>[exemplo] productname review</t>
        </is>
      </c>
      <c r="B15" s="21" t="inlineStr">
        <is>
          <t>Review</t>
        </is>
      </c>
      <c r="C15" s="21" t="inlineStr">
        <is>
          <t>Exact</t>
        </is>
      </c>
      <c r="D15" s="21" t="n">
        <v>800</v>
      </c>
      <c r="E15" s="21" t="n">
        <v>1.2</v>
      </c>
      <c r="F15" s="21" t="n">
        <v>5</v>
      </c>
      <c r="G15" s="21" t="inlineStr">
        <is>
          <t>SIM</t>
        </is>
      </c>
      <c r="H15" s="21" t="inlineStr">
        <is>
          <t>ALTA</t>
        </is>
      </c>
      <c r="I15" s="21" t="inlineStr">
        <is>
          <t>NÃO se trademark proibido</t>
        </is>
      </c>
      <c r="J15" s="21" t="inlineStr">
        <is>
          <t>Checar vendor terms</t>
        </is>
      </c>
    </row>
    <row r="16">
      <c r="A16" s="19" t="inlineStr"/>
      <c r="B16" s="19" t="inlineStr"/>
      <c r="C16" s="19" t="inlineStr"/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</row>
    <row r="17">
      <c r="A17" s="19" t="inlineStr"/>
      <c r="B17" s="19" t="inlineStr"/>
      <c r="C17" s="19" t="inlineStr"/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</row>
    <row r="18">
      <c r="A18" s="19" t="inlineStr"/>
      <c r="B18" s="19" t="inlineStr"/>
      <c r="C18" s="19" t="inlineStr"/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</row>
    <row r="19">
      <c r="A19" s="19" t="inlineStr"/>
      <c r="B19" s="19" t="inlineStr"/>
      <c r="C19" s="19" t="inlineStr"/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</row>
    <row r="20">
      <c r="A20" s="19" t="inlineStr"/>
      <c r="B20" s="19" t="inlineStr"/>
      <c r="C20" s="19" t="inlineStr"/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</row>
    <row r="21">
      <c r="A21" s="19" t="inlineStr"/>
      <c r="B21" s="19" t="inlineStr"/>
      <c r="C21" s="19" t="inlineStr"/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</row>
    <row r="22">
      <c r="A22" s="19" t="inlineStr"/>
      <c r="B22" s="19" t="inlineStr"/>
      <c r="C22" s="19" t="inlineStr"/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</row>
    <row r="23">
      <c r="A23" s="19" t="inlineStr"/>
      <c r="B23" s="19" t="inlineStr"/>
      <c r="C23" s="19" t="inlineStr"/>
      <c r="D23" s="19" t="inlineStr"/>
      <c r="E23" s="19" t="inlineStr"/>
      <c r="F23" s="19" t="inlineStr"/>
      <c r="G23" s="19" t="inlineStr"/>
      <c r="H23" s="19" t="inlineStr"/>
      <c r="I23" s="19" t="inlineStr"/>
      <c r="J23" s="19" t="inlineStr"/>
    </row>
    <row r="24">
      <c r="A24" s="19" t="inlineStr"/>
      <c r="B24" s="19" t="inlineStr"/>
      <c r="C24" s="19" t="inlineStr"/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</row>
    <row r="25">
      <c r="A25" s="19" t="inlineStr"/>
      <c r="B25" s="19" t="inlineStr"/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</row>
    <row r="26">
      <c r="A26" s="19" t="inlineStr"/>
      <c r="B26" s="19" t="inlineStr"/>
      <c r="C26" s="19" t="inlineStr"/>
      <c r="D26" s="19" t="inlineStr"/>
      <c r="E26" s="19" t="inlineStr"/>
      <c r="F26" s="19" t="inlineStr"/>
      <c r="G26" s="19" t="inlineStr"/>
      <c r="H26" s="19" t="inlineStr"/>
      <c r="I26" s="19" t="inlineStr"/>
      <c r="J26" s="19" t="inlineStr"/>
    </row>
    <row r="27">
      <c r="A27" s="19" t="inlineStr"/>
      <c r="B27" s="19" t="inlineStr"/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</row>
    <row r="28">
      <c r="A28" s="19" t="inlineStr"/>
      <c r="B28" s="19" t="inlineStr"/>
      <c r="C28" s="19" t="inlineStr"/>
      <c r="D28" s="19" t="inlineStr"/>
      <c r="E28" s="19" t="inlineStr"/>
      <c r="F28" s="19" t="inlineStr"/>
      <c r="G28" s="19" t="inlineStr"/>
      <c r="H28" s="19" t="inlineStr"/>
      <c r="I28" s="19" t="inlineStr"/>
      <c r="J28" s="19" t="inlineStr"/>
    </row>
    <row r="29">
      <c r="A29" s="19" t="inlineStr"/>
      <c r="B29" s="19" t="inlineStr"/>
      <c r="C29" s="19" t="inlineStr"/>
      <c r="D29" s="19" t="inlineStr"/>
      <c r="E29" s="19" t="inlineStr"/>
      <c r="F29" s="19" t="inlineStr"/>
      <c r="G29" s="19" t="inlineStr"/>
      <c r="H29" s="19" t="inlineStr"/>
      <c r="I29" s="19" t="inlineStr"/>
      <c r="J29" s="19" t="inlineStr"/>
    </row>
    <row r="30">
      <c r="A30" s="19" t="inlineStr"/>
      <c r="B30" s="19" t="inlineStr"/>
      <c r="C30" s="19" t="inlineStr"/>
      <c r="D30" s="19" t="inlineStr"/>
      <c r="E30" s="19" t="inlineStr"/>
      <c r="F30" s="19" t="inlineStr"/>
      <c r="G30" s="19" t="inlineStr"/>
      <c r="H30" s="19" t="inlineStr"/>
      <c r="I30" s="19" t="inlineStr"/>
      <c r="J30" s="19" t="inlineStr"/>
    </row>
    <row r="31">
      <c r="A31" s="19" t="inlineStr"/>
      <c r="B31" s="19" t="inlineStr"/>
      <c r="C31" s="19" t="inlineStr"/>
      <c r="D31" s="19" t="inlineStr"/>
      <c r="E31" s="19" t="inlineStr"/>
      <c r="F31" s="19" t="inlineStr"/>
      <c r="G31" s="19" t="inlineStr"/>
      <c r="H31" s="19" t="inlineStr"/>
      <c r="I31" s="19" t="inlineStr"/>
      <c r="J31" s="19" t="inlineStr"/>
    </row>
    <row r="32">
      <c r="A32" s="19" t="inlineStr"/>
      <c r="B32" s="19" t="inlineStr"/>
      <c r="C32" s="19" t="inlineStr"/>
      <c r="D32" s="19" t="inlineStr"/>
      <c r="E32" s="19" t="inlineStr"/>
      <c r="F32" s="19" t="inlineStr"/>
      <c r="G32" s="19" t="inlineStr"/>
      <c r="H32" s="19" t="inlineStr"/>
      <c r="I32" s="19" t="inlineStr"/>
      <c r="J32" s="19" t="inlineStr"/>
    </row>
    <row r="33">
      <c r="A33" s="19" t="inlineStr"/>
      <c r="B33" s="19" t="inlineStr"/>
      <c r="C33" s="19" t="inlineStr"/>
      <c r="D33" s="19" t="inlineStr"/>
      <c r="E33" s="19" t="inlineStr"/>
      <c r="F33" s="19" t="inlineStr"/>
      <c r="G33" s="19" t="inlineStr"/>
      <c r="H33" s="19" t="inlineStr"/>
      <c r="I33" s="19" t="inlineStr"/>
      <c r="J33" s="19" t="inlineStr"/>
    </row>
    <row r="34">
      <c r="A34" s="19" t="inlineStr"/>
      <c r="B34" s="19" t="inlineStr"/>
      <c r="C34" s="19" t="inlineStr"/>
      <c r="D34" s="19" t="inlineStr"/>
      <c r="E34" s="19" t="inlineStr"/>
      <c r="F34" s="19" t="inlineStr"/>
      <c r="G34" s="19" t="inlineStr"/>
      <c r="H34" s="19" t="inlineStr"/>
      <c r="I34" s="19" t="inlineStr"/>
      <c r="J34" s="19" t="inlineStr"/>
    </row>
    <row r="35">
      <c r="A35" s="19" t="inlineStr"/>
      <c r="B35" s="19" t="inlineStr"/>
      <c r="C35" s="19" t="inlineStr"/>
      <c r="D35" s="19" t="inlineStr"/>
      <c r="E35" s="19" t="inlineStr"/>
      <c r="F35" s="19" t="inlineStr"/>
      <c r="G35" s="19" t="inlineStr"/>
      <c r="H35" s="19" t="inlineStr"/>
      <c r="I35" s="19" t="inlineStr"/>
      <c r="J35" s="19" t="inlineStr"/>
    </row>
    <row r="38">
      <c r="A38" s="3" t="inlineStr">
        <is>
          <t>NEGATIVAS OBRIGATÓRIAS (adicione na campanha)</t>
        </is>
      </c>
    </row>
    <row r="39">
      <c r="A39" s="4" t="inlineStr">
        <is>
          <t>Negative keyword</t>
        </is>
      </c>
      <c r="B39" s="4" t="inlineStr">
        <is>
          <t>Match</t>
        </is>
      </c>
      <c r="C39" s="4" t="inlineStr">
        <is>
          <t>Motivo</t>
        </is>
      </c>
    </row>
    <row r="40">
      <c r="A40" s="18" t="inlineStr">
        <is>
          <t>free</t>
        </is>
      </c>
      <c r="B40" s="18" t="inlineStr">
        <is>
          <t>Broad</t>
        </is>
      </c>
      <c r="C40" s="18" t="inlineStr">
        <is>
          <t>Sem intenção de compra</t>
        </is>
      </c>
    </row>
    <row r="41">
      <c r="A41" s="18" t="inlineStr">
        <is>
          <t>jobs</t>
        </is>
      </c>
      <c r="B41" s="18" t="inlineStr">
        <is>
          <t>Broad</t>
        </is>
      </c>
      <c r="C41" s="18" t="inlineStr">
        <is>
          <t>Emprego</t>
        </is>
      </c>
    </row>
    <row r="42">
      <c r="A42" s="18" t="inlineStr">
        <is>
          <t>salary</t>
        </is>
      </c>
      <c r="B42" s="18" t="inlineStr">
        <is>
          <t>Broad</t>
        </is>
      </c>
      <c r="C42" s="18" t="inlineStr">
        <is>
          <t>Emprego</t>
        </is>
      </c>
    </row>
    <row r="43">
      <c r="A43" s="18" t="inlineStr">
        <is>
          <t>what is</t>
        </is>
      </c>
      <c r="B43" s="18" t="inlineStr">
        <is>
          <t>Phrase</t>
        </is>
      </c>
      <c r="C43" s="18" t="inlineStr">
        <is>
          <t>Informacional puro (avaliar)</t>
        </is>
      </c>
    </row>
    <row r="44">
      <c r="A44" s="18" t="inlineStr">
        <is>
          <t>pdf</t>
        </is>
      </c>
      <c r="B44" s="18" t="inlineStr">
        <is>
          <t>Broad</t>
        </is>
      </c>
      <c r="C44" s="18" t="inlineStr">
        <is>
          <t>Quer material grátis</t>
        </is>
      </c>
    </row>
    <row r="45">
      <c r="A45" s="18" t="inlineStr">
        <is>
          <t>reddit</t>
        </is>
      </c>
      <c r="B45" s="18" t="inlineStr">
        <is>
          <t>Broad</t>
        </is>
      </c>
      <c r="C45" s="18" t="inlineStr">
        <is>
          <t>Pesquisa social</t>
        </is>
      </c>
    </row>
    <row r="46">
      <c r="A46" s="18" t="inlineStr">
        <is>
          <t>complaint</t>
        </is>
      </c>
      <c r="B46" s="18" t="inlineStr">
        <is>
          <t>Broad</t>
        </is>
      </c>
      <c r="C46" s="18" t="inlineStr">
        <is>
          <t>Intenção negativa</t>
        </is>
      </c>
    </row>
    <row r="47">
      <c r="A47" s="18" t="inlineStr">
        <is>
          <t>scam</t>
        </is>
      </c>
      <c r="B47" s="18" t="inlineStr">
        <is>
          <t>Broad</t>
        </is>
      </c>
      <c r="C47" s="18" t="inlineStr">
        <is>
          <t>Intenção negativa</t>
        </is>
      </c>
    </row>
    <row r="48">
      <c r="A48" s="18" t="inlineStr">
        <is>
          <t>login</t>
        </is>
      </c>
      <c r="B48" s="18" t="inlineStr">
        <is>
          <t>Broad</t>
        </is>
      </c>
      <c r="C48" s="18" t="inlineStr">
        <is>
          <t>Usuário existente</t>
        </is>
      </c>
    </row>
    <row r="49">
      <c r="A49" s="18" t="inlineStr">
        <is>
          <t>customer service</t>
        </is>
      </c>
      <c r="B49" s="18" t="inlineStr">
        <is>
          <t>Broad</t>
        </is>
      </c>
      <c r="C49" s="18" t="inlineStr">
        <is>
          <t>Suporte</t>
        </is>
      </c>
    </row>
    <row r="50">
      <c r="A50" s="18" t="inlineStr">
        <is>
          <t>cheap</t>
        </is>
      </c>
      <c r="B50" s="18" t="inlineStr">
        <is>
          <t>Broad</t>
        </is>
      </c>
      <c r="C50" s="18" t="inlineStr">
        <is>
          <t>Só preço — testar depois</t>
        </is>
      </c>
    </row>
    <row r="51">
      <c r="A51" s="18" t="inlineStr">
        <is>
          <t>torrent</t>
        </is>
      </c>
      <c r="B51" s="18" t="inlineStr">
        <is>
          <t>Broad</t>
        </is>
      </c>
      <c r="C51" s="18" t="inlineStr">
        <is>
          <t>Pirata</t>
        </is>
      </c>
    </row>
    <row r="52">
      <c r="A52" s="18" t="inlineStr">
        <is>
          <t>download</t>
        </is>
      </c>
      <c r="B52" s="18" t="inlineStr">
        <is>
          <t>Broad</t>
        </is>
      </c>
      <c r="C52" s="18" t="inlineStr">
        <is>
          <t>Quer grátis</t>
        </is>
      </c>
    </row>
    <row r="53">
      <c r="A53" s="18" t="inlineStr">
        <is>
          <t>course free</t>
        </is>
      </c>
      <c r="B53" s="18" t="inlineStr">
        <is>
          <t>Phrase</t>
        </is>
      </c>
      <c r="C53" s="18" t="inlineStr">
        <is>
          <t>Grátis</t>
        </is>
      </c>
    </row>
    <row r="54">
      <c r="A54" s="19" t="inlineStr">
        <is>
          <t>[marca do produto se proibido]</t>
        </is>
      </c>
      <c r="B54" s="19" t="inlineStr">
        <is>
          <t>Exact</t>
        </is>
      </c>
      <c r="C54" s="19" t="inlineStr">
        <is>
          <t>Trademark vendor</t>
        </is>
      </c>
    </row>
    <row r="57">
      <c r="A57" s="22" t="inlineStr">
        <is>
          <t>REGRA $50: se CPC real &gt; break-even e não há CVR de CTA em 15–20 cliques na keyword → pause essa keyword.</t>
        </is>
      </c>
    </row>
  </sheetData>
  <mergeCells count="11">
    <mergeCell ref="A1:J1"/>
    <mergeCell ref="A5:F5"/>
    <mergeCell ref="A9:F9"/>
    <mergeCell ref="A8:F8"/>
    <mergeCell ref="A6:F6"/>
    <mergeCell ref="A57:J57"/>
    <mergeCell ref="A4:F4"/>
    <mergeCell ref="A2:J2"/>
    <mergeCell ref="A3:B3"/>
    <mergeCell ref="A38:C38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75" customWidth="1" min="2" max="2"/>
    <col width="14" customWidth="1" min="3" max="3"/>
  </cols>
  <sheetData>
    <row r="1">
      <c r="A1" s="6" t="inlineStr">
        <is>
          <t>CAMPANHA GOOGLE SEARCH — SETUP DO TESTE (≤ US$ 50)</t>
        </is>
      </c>
    </row>
    <row r="2">
      <c r="A2" s="4" t="inlineStr">
        <is>
          <t>Campo</t>
        </is>
      </c>
      <c r="B2" s="4" t="inlineStr">
        <is>
          <t>Valor recomendado / seu valor</t>
        </is>
      </c>
      <c r="C2" s="4" t="inlineStr">
        <is>
          <t>Status</t>
        </is>
      </c>
    </row>
    <row r="3">
      <c r="A3" s="7" t="inlineStr">
        <is>
          <t>Nome da campanha</t>
        </is>
      </c>
      <c r="B3" s="9" t="inlineStr">
        <is>
          <t>CB_[VERTICAL]_[GEO]_SEARCH_BRIDGE_v1</t>
        </is>
      </c>
      <c r="C3" s="9" t="inlineStr">
        <is>
          <t>PENDENTE</t>
        </is>
      </c>
    </row>
    <row r="4">
      <c r="A4" s="7" t="inlineStr">
        <is>
          <t>Objetivo</t>
        </is>
      </c>
      <c r="B4" s="9" t="inlineStr">
        <is>
          <t>Leads ou Sales (se conversão de compra); senão Website traffic + conversão CTA</t>
        </is>
      </c>
      <c r="C4" s="9" t="inlineStr">
        <is>
          <t>PENDENTE</t>
        </is>
      </c>
    </row>
    <row r="5">
      <c r="A5" s="7" t="inlineStr">
        <is>
          <t>Tipo</t>
        </is>
      </c>
      <c r="B5" s="9" t="inlineStr">
        <is>
          <t>Search</t>
        </is>
      </c>
      <c r="C5" s="9" t="inlineStr">
        <is>
          <t>PENDENTE</t>
        </is>
      </c>
    </row>
    <row r="6">
      <c r="A6" s="7" t="inlineStr">
        <is>
          <t>Redes</t>
        </is>
      </c>
      <c r="B6" s="9" t="inlineStr">
        <is>
          <t>Search Network ON | Search Partners OFF | Display OFF</t>
        </is>
      </c>
      <c r="C6" s="9" t="inlineStr">
        <is>
          <t>PENDENTE</t>
        </is>
      </c>
    </row>
    <row r="7">
      <c r="A7" s="7" t="inlineStr">
        <is>
          <t>Geo</t>
        </is>
      </c>
      <c r="B7" s="9" t="inlineStr">
        <is>
          <t>Somente geos permitidos (ex: United States)</t>
        </is>
      </c>
      <c r="C7" s="9" t="inlineStr">
        <is>
          <t>PENDENTE</t>
        </is>
      </c>
    </row>
    <row r="8">
      <c r="A8" s="7" t="inlineStr">
        <is>
          <t>Idioma</t>
        </is>
      </c>
      <c r="B8" s="9" t="inlineStr">
        <is>
          <t>English (ou idioma do geo)</t>
        </is>
      </c>
      <c r="C8" s="9" t="inlineStr">
        <is>
          <t>PENDENTE</t>
        </is>
      </c>
    </row>
    <row r="9">
      <c r="A9" s="7" t="inlineStr">
        <is>
          <t>Orçamento diário</t>
        </is>
      </c>
      <c r="B9" s="9" t="inlineStr">
        <is>
          <t>US$ 10 a 15 (teto total $50)</t>
        </is>
      </c>
      <c r="C9" s="9" t="inlineStr">
        <is>
          <t>PENDENTE</t>
        </is>
      </c>
    </row>
    <row r="10">
      <c r="A10" s="7" t="inlineStr">
        <is>
          <t>Estratégia de lance (início)</t>
        </is>
      </c>
      <c r="B10" s="9" t="inlineStr">
        <is>
          <t>Maximize clicks COM teto de CPC = 70–90% do break-even OU Manual CPC</t>
        </is>
      </c>
      <c r="C10" s="9" t="inlineStr">
        <is>
          <t>PENDENTE</t>
        </is>
      </c>
    </row>
    <row r="11">
      <c r="A11" s="7" t="inlineStr">
        <is>
          <t>Teto CPC (USD)</t>
        </is>
      </c>
      <c r="B11" s="9" t="inlineStr">
        <is>
          <t>(preencher com aba 09)</t>
        </is>
      </c>
      <c r="C11" s="9" t="inlineStr">
        <is>
          <t>PENDENTE</t>
        </is>
      </c>
    </row>
    <row r="12">
      <c r="A12" s="7" t="inlineStr">
        <is>
          <t>Ad group nome</t>
        </is>
      </c>
      <c r="B12" s="9" t="inlineStr">
        <is>
          <t>AG_Main_Problem_or_Solution</t>
        </is>
      </c>
      <c r="C12" s="9" t="inlineStr">
        <is>
          <t>PENDENTE</t>
        </is>
      </c>
    </row>
    <row r="13">
      <c r="A13" s="7" t="inlineStr">
        <is>
          <t>Nº keywords</t>
        </is>
      </c>
      <c r="B13" s="9" t="inlineStr">
        <is>
          <t>5–8 (phrase + exact)</t>
        </is>
      </c>
      <c r="C13" s="9" t="inlineStr">
        <is>
          <t>PENDENTE</t>
        </is>
      </c>
    </row>
    <row r="14">
      <c r="A14" s="7" t="inlineStr">
        <is>
          <t>RSA títulos (qtd)</t>
        </is>
      </c>
      <c r="B14" s="9" t="inlineStr">
        <is>
          <t>10–15</t>
        </is>
      </c>
      <c r="C14" s="9" t="inlineStr">
        <is>
          <t>PENDENTE</t>
        </is>
      </c>
    </row>
    <row r="15">
      <c r="A15" s="7" t="inlineStr">
        <is>
          <t>RSA descrições</t>
        </is>
      </c>
      <c r="B15" s="9" t="inlineStr">
        <is>
          <t>4</t>
        </is>
      </c>
      <c r="C15" s="9" t="inlineStr">
        <is>
          <t>PENDENTE</t>
        </is>
      </c>
    </row>
    <row r="16">
      <c r="A16" s="7" t="inlineStr">
        <is>
          <t>Final URL</t>
        </is>
      </c>
      <c r="B16" s="9" t="inlineStr">
        <is>
          <t>URL da pré-sell (não hop)</t>
        </is>
      </c>
      <c r="C16" s="9" t="inlineStr">
        <is>
          <t>PENDENTE</t>
        </is>
      </c>
    </row>
    <row r="17">
      <c r="A17" s="7" t="inlineStr">
        <is>
          <t>Caminho (path)</t>
        </is>
      </c>
      <c r="B17" s="9" t="inlineStr">
        <is>
          <t>review / guide (curto)</t>
        </is>
      </c>
      <c r="C17" s="9" t="inlineStr">
        <is>
          <t>PENDENTE</t>
        </is>
      </c>
    </row>
    <row r="18">
      <c r="A18" s="7" t="inlineStr">
        <is>
          <t>UTM campaign</t>
        </is>
      </c>
      <c r="B18" s="9" t="inlineStr">
        <is>
          <t>cb_vertical_geo_search_v1</t>
        </is>
      </c>
      <c r="C18" s="9" t="inlineStr">
        <is>
          <t>PENDENTE</t>
        </is>
      </c>
    </row>
    <row r="19">
      <c r="A19" s="7" t="inlineStr">
        <is>
          <t>Tracking template (opcional)</t>
        </is>
      </c>
      <c r="B19" s="9" t="inlineStr">
        <is>
          <t>{lpurl}?utm_source=google&amp;utm_medium=cpc&amp;utm_campaign=...&amp;utm_content={creative}&amp;utm_term={keyword}</t>
        </is>
      </c>
      <c r="C19" s="9" t="inlineStr">
        <is>
          <t>PENDENTE</t>
        </is>
      </c>
    </row>
    <row r="20">
      <c r="A20" s="7" t="inlineStr">
        <is>
          <t>Conversão primária teste</t>
        </is>
      </c>
      <c r="B20" s="9" t="inlineStr">
        <is>
          <t>Clique no CTA (hop out) — contador GA4/GTM importado</t>
        </is>
      </c>
      <c r="C20" s="9" t="inlineStr">
        <is>
          <t>PENDENTE</t>
        </is>
      </c>
    </row>
    <row r="21">
      <c r="A21" s="7" t="inlineStr">
        <is>
          <t>Conversão secundária</t>
        </is>
      </c>
      <c r="B21" s="9" t="inlineStr">
        <is>
          <t>Compra ClickBank se tiver pixel/offline</t>
        </is>
      </c>
      <c r="C21" s="9" t="inlineStr">
        <is>
          <t>PENDENTE</t>
        </is>
      </c>
    </row>
    <row r="22">
      <c r="A22" s="7" t="inlineStr">
        <is>
          <t>Extensões</t>
        </is>
      </c>
      <c r="B22" s="9" t="inlineStr">
        <is>
          <t>2–4 sitelinks + callouts honestos</t>
        </is>
      </c>
      <c r="C22" s="9" t="inlineStr">
        <is>
          <t>PENDENTE</t>
        </is>
      </c>
    </row>
    <row r="23">
      <c r="A23" s="7" t="inlineStr">
        <is>
          <t>Programação de anúncio</t>
        </is>
      </c>
      <c r="B23" s="9" t="inlineStr">
        <is>
          <t>Opcional: horários com melhor CPC no geo</t>
        </is>
      </c>
      <c r="C23" s="9" t="inlineStr">
        <is>
          <t>PENDENTE</t>
        </is>
      </c>
    </row>
    <row r="24">
      <c r="A24" s="7" t="inlineStr">
        <is>
          <t>Devices</t>
        </is>
      </c>
      <c r="B24" s="9" t="inlineStr">
        <is>
          <t>Iniciar all; cortar device lixo após dados</t>
        </is>
      </c>
      <c r="C24" s="9" t="inlineStr">
        <is>
          <t>PENDENTE</t>
        </is>
      </c>
    </row>
    <row r="25">
      <c r="A25" s="7" t="inlineStr">
        <is>
          <t>Alerta de gasto</t>
        </is>
      </c>
      <c r="B25" s="9" t="inlineStr">
        <is>
          <t>Email/alerta em 80% de $50 ($40)</t>
        </is>
      </c>
      <c r="C25" s="9" t="inlineStr">
        <is>
          <t>PENDENTE</t>
        </is>
      </c>
    </row>
    <row r="28">
      <c r="A28" s="3" t="inlineStr">
        <is>
          <t>RSA — ESQUELETO SEGURO (adapte ao nicho, sem claims proibidos)</t>
        </is>
      </c>
    </row>
    <row r="29" ht="220" customHeight="1">
      <c r="A29" s="2" t="inlineStr">
        <is>
          <t xml:space="preserve">Títulos (exemplos de estrutura):
- {Keyword}: Practical Guide
- What to Know Before You Try
- Pros, Cons &amp; Who It's For
- Honest Breakdown (2026)
- See How It Works Step by Step
- Compare Options Before Buying
- Read This Before You Decide
- Official Offer Details Inside
- For People Who Want a Clear Overview
- Simple Explanation + Next Steps
Descrições:
- Learn how it works, who it may help, and what to check before you buy. Individual results vary.
- Clear overview with pros and cons. Affiliate disclosure: we may earn a commission if you purchase.
- Continue to the official page for pricing, guarantee and full details.
- Not medical/financial advice. Review the official information carefully.
Lembrete: message match com H1 da pré-sell. Não use a marca do produto no anúncio se trademark bidding for proibido.
</t>
        </is>
      </c>
    </row>
    <row r="31">
      <c r="A31" s="3" t="inlineStr">
        <is>
          <t>CHECKLIST PRÉ-GO-LIVE (sim/não)</t>
        </is>
      </c>
    </row>
    <row r="32">
      <c r="A32" s="18" t="inlineStr">
        <is>
          <t>Vendor terms lidos e geos OK</t>
        </is>
      </c>
      <c r="B32" s="19" t="inlineStr">
        <is>
          <t>PENDENTE</t>
        </is>
      </c>
    </row>
    <row r="33">
      <c r="A33" s="18" t="inlineStr">
        <is>
          <t>Pré-sell no ar com SSL e CTA hop testado</t>
        </is>
      </c>
      <c r="B33" s="19" t="inlineStr">
        <is>
          <t>PENDENTE</t>
        </is>
      </c>
    </row>
    <row r="34">
      <c r="A34" s="18" t="inlineStr">
        <is>
          <t>Disclaimer afiliado na página</t>
        </is>
      </c>
      <c r="B34" s="19" t="inlineStr">
        <is>
          <t>PENDENTE</t>
        </is>
      </c>
    </row>
    <row r="35">
      <c r="A35" s="18" t="inlineStr">
        <is>
          <t>Keywords + negativas carregadas</t>
        </is>
      </c>
      <c r="B35" s="19" t="inlineStr">
        <is>
          <t>PENDENTE</t>
        </is>
      </c>
    </row>
    <row r="36">
      <c r="A36" s="18" t="inlineStr">
        <is>
          <t>Final URL = pré-sell</t>
        </is>
      </c>
      <c r="B36" s="19" t="inlineStr">
        <is>
          <t>PENDENTE</t>
        </is>
      </c>
    </row>
    <row r="37">
      <c r="A37" s="18" t="inlineStr">
        <is>
          <t>UTM funcionando (teste real)</t>
        </is>
      </c>
      <c r="B37" s="19" t="inlineStr">
        <is>
          <t>PENDENTE</t>
        </is>
      </c>
    </row>
    <row r="38">
      <c r="A38" s="18" t="inlineStr">
        <is>
          <t>Conversão CTA disparando (Tag Assistant)</t>
        </is>
      </c>
      <c r="B38" s="19" t="inlineStr">
        <is>
          <t>PENDENTE</t>
        </is>
      </c>
    </row>
    <row r="39">
      <c r="A39" s="18" t="inlineStr">
        <is>
          <t>Orçamento diário e teto $50 definidos</t>
        </is>
      </c>
      <c r="B39" s="19" t="inlineStr">
        <is>
          <t>PENDENTE</t>
        </is>
      </c>
    </row>
    <row r="40">
      <c r="A40" s="18" t="inlineStr">
        <is>
          <t>Aba 03 Anti-Strike 100% OK nos itens críticos</t>
        </is>
      </c>
      <c r="B40" s="19" t="inlineStr">
        <is>
          <t>PENDENTE</t>
        </is>
      </c>
    </row>
    <row r="41">
      <c r="A41" s="18" t="inlineStr">
        <is>
          <t>Preview do anúncio sem policy óbvia</t>
        </is>
      </c>
      <c r="B41" s="19" t="inlineStr">
        <is>
          <t>PENDENTE</t>
        </is>
      </c>
    </row>
  </sheetData>
  <mergeCells count="2">
    <mergeCell ref="A29:C29"/>
    <mergeCell ref="A28:C2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8" customWidth="1" min="4" max="4"/>
    <col width="11" customWidth="1" min="5" max="5"/>
    <col width="9" customWidth="1" min="6" max="6"/>
    <col width="8" customWidth="1" min="7" max="7"/>
    <col width="8" customWidth="1" min="8" max="8"/>
    <col width="11" customWidth="1" min="9" max="9"/>
    <col width="10" customWidth="1" min="10" max="10"/>
    <col width="10" customWidth="1" min="11" max="11"/>
    <col width="9" customWidth="1" min="12" max="12"/>
    <col width="12" customWidth="1" min="13" max="13"/>
    <col width="11" customWidth="1" min="14" max="14"/>
    <col width="11" customWidth="1" min="15" max="15"/>
    <col width="24" customWidth="1" min="16" max="16"/>
  </cols>
  <sheetData>
    <row r="1">
      <c r="A1" s="6" t="inlineStr">
        <is>
          <t>DIÁRIO DO TESTE — TETO US$ 50</t>
        </is>
      </c>
    </row>
    <row r="2">
      <c r="A2" t="inlineStr">
        <is>
          <t>Orçamento total (USD)</t>
        </is>
      </c>
      <c r="B2" s="5" t="n">
        <v>50</v>
      </c>
      <c r="C2" t="inlineStr">
        <is>
          <t>Gasto acumulado</t>
        </is>
      </c>
      <c r="D2">
        <f>SUM(E7:E20)</f>
        <v/>
      </c>
      <c r="E2" t="inlineStr">
        <is>
          <t>Restante</t>
        </is>
      </c>
      <c r="F2" s="15">
        <f>B2-D2</f>
        <v/>
      </c>
    </row>
    <row r="6">
      <c r="A6" s="4" t="inlineStr">
        <is>
          <t>Data</t>
        </is>
      </c>
      <c r="B6" s="4" t="inlineStr">
        <is>
          <t>Campanha/AG</t>
        </is>
      </c>
      <c r="C6" s="4" t="inlineStr">
        <is>
          <t>Keyword (ou Total dia)</t>
        </is>
      </c>
      <c r="D6" s="4" t="inlineStr">
        <is>
          <t>Impr.</t>
        </is>
      </c>
      <c r="E6" s="4" t="inlineStr">
        <is>
          <t>Gasto USD</t>
        </is>
      </c>
      <c r="F6" s="4" t="inlineStr">
        <is>
          <t>Cliques</t>
        </is>
      </c>
      <c r="G6" s="4" t="inlineStr">
        <is>
          <t>CTR%</t>
        </is>
      </c>
      <c r="H6" s="4" t="inlineStr">
        <is>
          <t>CPC</t>
        </is>
      </c>
      <c r="I6" s="4" t="inlineStr">
        <is>
          <t>Cliques CTA</t>
        </is>
      </c>
      <c r="J6" s="4" t="inlineStr">
        <is>
          <t>CVR CTA%</t>
        </is>
      </c>
      <c r="K6" s="4" t="inlineStr">
        <is>
          <t>Hops CB</t>
        </is>
      </c>
      <c r="L6" s="4" t="inlineStr">
        <is>
          <t>Vendas</t>
        </is>
      </c>
      <c r="M6" s="4" t="inlineStr">
        <is>
          <t>Comissão USD</t>
        </is>
      </c>
      <c r="N6" s="4" t="inlineStr">
        <is>
          <t>Refund est.</t>
        </is>
      </c>
      <c r="O6" s="4" t="inlineStr">
        <is>
          <t>Lucro est.</t>
        </is>
      </c>
      <c r="P6" s="4" t="inlineStr">
        <is>
          <t>Notas</t>
        </is>
      </c>
    </row>
    <row r="7">
      <c r="A7" s="19" t="n"/>
      <c r="B7" s="19" t="n"/>
      <c r="C7" s="19" t="n"/>
      <c r="D7" s="19" t="n"/>
      <c r="E7" s="19" t="n"/>
      <c r="F7" s="19" t="n"/>
      <c r="G7" s="23">
        <f>IF(OR(D7="",D7=0),"",F7/D7)</f>
        <v/>
      </c>
      <c r="H7" s="23">
        <f>IF(OR(F7="",F7=0),"",E7/F7)</f>
        <v/>
      </c>
      <c r="I7" s="19" t="n"/>
      <c r="J7" s="23">
        <f>IF(OR(F7="",F7=0),"",I7/F7)</f>
        <v/>
      </c>
      <c r="K7" s="19" t="n"/>
      <c r="L7" s="19" t="n"/>
      <c r="M7" s="19" t="n"/>
      <c r="N7" s="19" t="n"/>
      <c r="O7" s="23">
        <f>IF(E7="","",IF(M7="",-E7,M7-N7-E7))</f>
        <v/>
      </c>
      <c r="P7" s="19" t="n"/>
    </row>
    <row r="8">
      <c r="A8" s="19" t="n"/>
      <c r="B8" s="19" t="n"/>
      <c r="C8" s="19" t="n"/>
      <c r="D8" s="19" t="n"/>
      <c r="E8" s="19" t="n"/>
      <c r="F8" s="19" t="n"/>
      <c r="G8" s="23">
        <f>IF(OR(D8="",D8=0),"",F8/D8)</f>
        <v/>
      </c>
      <c r="H8" s="23">
        <f>IF(OR(F8="",F8=0),"",E8/F8)</f>
        <v/>
      </c>
      <c r="I8" s="19" t="n"/>
      <c r="J8" s="23">
        <f>IF(OR(F8="",F8=0),"",I8/F8)</f>
        <v/>
      </c>
      <c r="K8" s="19" t="n"/>
      <c r="L8" s="19" t="n"/>
      <c r="M8" s="19" t="n"/>
      <c r="N8" s="19" t="n"/>
      <c r="O8" s="23">
        <f>IF(E8="","",IF(M8="",-E8,M8-N8-E8))</f>
        <v/>
      </c>
      <c r="P8" s="19" t="n"/>
    </row>
    <row r="9">
      <c r="A9" s="19" t="n"/>
      <c r="B9" s="19" t="n"/>
      <c r="C9" s="19" t="n"/>
      <c r="D9" s="19" t="n"/>
      <c r="E9" s="19" t="n"/>
      <c r="F9" s="19" t="n"/>
      <c r="G9" s="23">
        <f>IF(OR(D9="",D9=0),"",F9/D9)</f>
        <v/>
      </c>
      <c r="H9" s="23">
        <f>IF(OR(F9="",F9=0),"",E9/F9)</f>
        <v/>
      </c>
      <c r="I9" s="19" t="n"/>
      <c r="J9" s="23">
        <f>IF(OR(F9="",F9=0),"",I9/F9)</f>
        <v/>
      </c>
      <c r="K9" s="19" t="n"/>
      <c r="L9" s="19" t="n"/>
      <c r="M9" s="19" t="n"/>
      <c r="N9" s="19" t="n"/>
      <c r="O9" s="23">
        <f>IF(E9="","",IF(M9="",-E9,M9-N9-E9))</f>
        <v/>
      </c>
      <c r="P9" s="19" t="n"/>
    </row>
    <row r="10">
      <c r="A10" s="19" t="n"/>
      <c r="B10" s="19" t="n"/>
      <c r="C10" s="19" t="n"/>
      <c r="D10" s="19" t="n"/>
      <c r="E10" s="19" t="n"/>
      <c r="F10" s="19" t="n"/>
      <c r="G10" s="23">
        <f>IF(OR(D10="",D10=0),"",F10/D10)</f>
        <v/>
      </c>
      <c r="H10" s="23">
        <f>IF(OR(F10="",F10=0),"",E10/F10)</f>
        <v/>
      </c>
      <c r="I10" s="19" t="n"/>
      <c r="J10" s="23">
        <f>IF(OR(F10="",F10=0),"",I10/F10)</f>
        <v/>
      </c>
      <c r="K10" s="19" t="n"/>
      <c r="L10" s="19" t="n"/>
      <c r="M10" s="19" t="n"/>
      <c r="N10" s="19" t="n"/>
      <c r="O10" s="23">
        <f>IF(E10="","",IF(M10="",-E10,M10-N10-E10))</f>
        <v/>
      </c>
      <c r="P10" s="19" t="n"/>
    </row>
    <row r="11">
      <c r="A11" s="19" t="n"/>
      <c r="B11" s="19" t="n"/>
      <c r="C11" s="19" t="n"/>
      <c r="D11" s="19" t="n"/>
      <c r="E11" s="19" t="n"/>
      <c r="F11" s="19" t="n"/>
      <c r="G11" s="23">
        <f>IF(OR(D11="",D11=0),"",F11/D11)</f>
        <v/>
      </c>
      <c r="H11" s="23">
        <f>IF(OR(F11="",F11=0),"",E11/F11)</f>
        <v/>
      </c>
      <c r="I11" s="19" t="n"/>
      <c r="J11" s="23">
        <f>IF(OR(F11="",F11=0),"",I11/F11)</f>
        <v/>
      </c>
      <c r="K11" s="19" t="n"/>
      <c r="L11" s="19" t="n"/>
      <c r="M11" s="19" t="n"/>
      <c r="N11" s="19" t="n"/>
      <c r="O11" s="23">
        <f>IF(E11="","",IF(M11="",-E11,M11-N11-E11))</f>
        <v/>
      </c>
      <c r="P11" s="19" t="n"/>
    </row>
    <row r="12">
      <c r="A12" s="19" t="n"/>
      <c r="B12" s="19" t="n"/>
      <c r="C12" s="19" t="n"/>
      <c r="D12" s="19" t="n"/>
      <c r="E12" s="19" t="n"/>
      <c r="F12" s="19" t="n"/>
      <c r="G12" s="23">
        <f>IF(OR(D12="",D12=0),"",F12/D12)</f>
        <v/>
      </c>
      <c r="H12" s="23">
        <f>IF(OR(F12="",F12=0),"",E12/F12)</f>
        <v/>
      </c>
      <c r="I12" s="19" t="n"/>
      <c r="J12" s="23">
        <f>IF(OR(F12="",F12=0),"",I12/F12)</f>
        <v/>
      </c>
      <c r="K12" s="19" t="n"/>
      <c r="L12" s="19" t="n"/>
      <c r="M12" s="19" t="n"/>
      <c r="N12" s="19" t="n"/>
      <c r="O12" s="23">
        <f>IF(E12="","",IF(M12="",-E12,M12-N12-E12))</f>
        <v/>
      </c>
      <c r="P12" s="19" t="n"/>
    </row>
    <row r="13">
      <c r="A13" s="19" t="n"/>
      <c r="B13" s="19" t="n"/>
      <c r="C13" s="19" t="n"/>
      <c r="D13" s="19" t="n"/>
      <c r="E13" s="19" t="n"/>
      <c r="F13" s="19" t="n"/>
      <c r="G13" s="23">
        <f>IF(OR(D13="",D13=0),"",F13/D13)</f>
        <v/>
      </c>
      <c r="H13" s="23">
        <f>IF(OR(F13="",F13=0),"",E13/F13)</f>
        <v/>
      </c>
      <c r="I13" s="19" t="n"/>
      <c r="J13" s="23">
        <f>IF(OR(F13="",F13=0),"",I13/F13)</f>
        <v/>
      </c>
      <c r="K13" s="19" t="n"/>
      <c r="L13" s="19" t="n"/>
      <c r="M13" s="19" t="n"/>
      <c r="N13" s="19" t="n"/>
      <c r="O13" s="23">
        <f>IF(E13="","",IF(M13="",-E13,M13-N13-E13))</f>
        <v/>
      </c>
      <c r="P13" s="19" t="n"/>
    </row>
    <row r="14">
      <c r="A14" s="19" t="n"/>
      <c r="B14" s="19" t="n"/>
      <c r="C14" s="19" t="n"/>
      <c r="D14" s="19" t="n"/>
      <c r="E14" s="19" t="n"/>
      <c r="F14" s="19" t="n"/>
      <c r="G14" s="23">
        <f>IF(OR(D14="",D14=0),"",F14/D14)</f>
        <v/>
      </c>
      <c r="H14" s="23">
        <f>IF(OR(F14="",F14=0),"",E14/F14)</f>
        <v/>
      </c>
      <c r="I14" s="19" t="n"/>
      <c r="J14" s="23">
        <f>IF(OR(F14="",F14=0),"",I14/F14)</f>
        <v/>
      </c>
      <c r="K14" s="19" t="n"/>
      <c r="L14" s="19" t="n"/>
      <c r="M14" s="19" t="n"/>
      <c r="N14" s="19" t="n"/>
      <c r="O14" s="23">
        <f>IF(E14="","",IF(M14="",-E14,M14-N14-E14))</f>
        <v/>
      </c>
      <c r="P14" s="19" t="n"/>
    </row>
    <row r="15">
      <c r="A15" s="19" t="n"/>
      <c r="B15" s="19" t="n"/>
      <c r="C15" s="19" t="n"/>
      <c r="D15" s="19" t="n"/>
      <c r="E15" s="19" t="n"/>
      <c r="F15" s="19" t="n"/>
      <c r="G15" s="23">
        <f>IF(OR(D15="",D15=0),"",F15/D15)</f>
        <v/>
      </c>
      <c r="H15" s="23">
        <f>IF(OR(F15="",F15=0),"",E15/F15)</f>
        <v/>
      </c>
      <c r="I15" s="19" t="n"/>
      <c r="J15" s="23">
        <f>IF(OR(F15="",F15=0),"",I15/F15)</f>
        <v/>
      </c>
      <c r="K15" s="19" t="n"/>
      <c r="L15" s="19" t="n"/>
      <c r="M15" s="19" t="n"/>
      <c r="N15" s="19" t="n"/>
      <c r="O15" s="23">
        <f>IF(E15="","",IF(M15="",-E15,M15-N15-E15))</f>
        <v/>
      </c>
      <c r="P15" s="19" t="n"/>
    </row>
    <row r="16">
      <c r="A16" s="19" t="n"/>
      <c r="B16" s="19" t="n"/>
      <c r="C16" s="19" t="n"/>
      <c r="D16" s="19" t="n"/>
      <c r="E16" s="19" t="n"/>
      <c r="F16" s="19" t="n"/>
      <c r="G16" s="23">
        <f>IF(OR(D16="",D16=0),"",F16/D16)</f>
        <v/>
      </c>
      <c r="H16" s="23">
        <f>IF(OR(F16="",F16=0),"",E16/F16)</f>
        <v/>
      </c>
      <c r="I16" s="19" t="n"/>
      <c r="J16" s="23">
        <f>IF(OR(F16="",F16=0),"",I16/F16)</f>
        <v/>
      </c>
      <c r="K16" s="19" t="n"/>
      <c r="L16" s="19" t="n"/>
      <c r="M16" s="19" t="n"/>
      <c r="N16" s="19" t="n"/>
      <c r="O16" s="23">
        <f>IF(E16="","",IF(M16="",-E16,M16-N16-E16))</f>
        <v/>
      </c>
      <c r="P16" s="19" t="n"/>
    </row>
    <row r="17">
      <c r="A17" s="19" t="n"/>
      <c r="B17" s="19" t="n"/>
      <c r="C17" s="19" t="n"/>
      <c r="D17" s="19" t="n"/>
      <c r="E17" s="19" t="n"/>
      <c r="F17" s="19" t="n"/>
      <c r="G17" s="23">
        <f>IF(OR(D17="",D17=0),"",F17/D17)</f>
        <v/>
      </c>
      <c r="H17" s="23">
        <f>IF(OR(F17="",F17=0),"",E17/F17)</f>
        <v/>
      </c>
      <c r="I17" s="19" t="n"/>
      <c r="J17" s="23">
        <f>IF(OR(F17="",F17=0),"",I17/F17)</f>
        <v/>
      </c>
      <c r="K17" s="19" t="n"/>
      <c r="L17" s="19" t="n"/>
      <c r="M17" s="19" t="n"/>
      <c r="N17" s="19" t="n"/>
      <c r="O17" s="23">
        <f>IF(E17="","",IF(M17="",-E17,M17-N17-E17))</f>
        <v/>
      </c>
      <c r="P17" s="19" t="n"/>
    </row>
    <row r="18">
      <c r="A18" s="19" t="n"/>
      <c r="B18" s="19" t="n"/>
      <c r="C18" s="19" t="n"/>
      <c r="D18" s="19" t="n"/>
      <c r="E18" s="19" t="n"/>
      <c r="F18" s="19" t="n"/>
      <c r="G18" s="23">
        <f>IF(OR(D18="",D18=0),"",F18/D18)</f>
        <v/>
      </c>
      <c r="H18" s="23">
        <f>IF(OR(F18="",F18=0),"",E18/F18)</f>
        <v/>
      </c>
      <c r="I18" s="19" t="n"/>
      <c r="J18" s="23">
        <f>IF(OR(F18="",F18=0),"",I18/F18)</f>
        <v/>
      </c>
      <c r="K18" s="19" t="n"/>
      <c r="L18" s="19" t="n"/>
      <c r="M18" s="19" t="n"/>
      <c r="N18" s="19" t="n"/>
      <c r="O18" s="23">
        <f>IF(E18="","",IF(M18="",-E18,M18-N18-E18))</f>
        <v/>
      </c>
      <c r="P18" s="19" t="n"/>
    </row>
    <row r="19">
      <c r="A19" s="19" t="n"/>
      <c r="B19" s="19" t="n"/>
      <c r="C19" s="19" t="n"/>
      <c r="D19" s="19" t="n"/>
      <c r="E19" s="19" t="n"/>
      <c r="F19" s="19" t="n"/>
      <c r="G19" s="23">
        <f>IF(OR(D19="",D19=0),"",F19/D19)</f>
        <v/>
      </c>
      <c r="H19" s="23">
        <f>IF(OR(F19="",F19=0),"",E19/F19)</f>
        <v/>
      </c>
      <c r="I19" s="19" t="n"/>
      <c r="J19" s="23">
        <f>IF(OR(F19="",F19=0),"",I19/F19)</f>
        <v/>
      </c>
      <c r="K19" s="19" t="n"/>
      <c r="L19" s="19" t="n"/>
      <c r="M19" s="19" t="n"/>
      <c r="N19" s="19" t="n"/>
      <c r="O19" s="23">
        <f>IF(E19="","",IF(M19="",-E19,M19-N19-E19))</f>
        <v/>
      </c>
      <c r="P19" s="19" t="n"/>
    </row>
    <row r="20">
      <c r="A20" s="19" t="n"/>
      <c r="B20" s="19" t="n"/>
      <c r="C20" s="19" t="n"/>
      <c r="D20" s="19" t="n"/>
      <c r="E20" s="19" t="n"/>
      <c r="F20" s="19" t="n"/>
      <c r="G20" s="23">
        <f>IF(OR(D20="",D20=0),"",F20/D20)</f>
        <v/>
      </c>
      <c r="H20" s="23">
        <f>IF(OR(F20="",F20=0),"",E20/F20)</f>
        <v/>
      </c>
      <c r="I20" s="19" t="n"/>
      <c r="J20" s="23">
        <f>IF(OR(F20="",F20=0),"",I20/F20)</f>
        <v/>
      </c>
      <c r="K20" s="19" t="n"/>
      <c r="L20" s="19" t="n"/>
      <c r="M20" s="19" t="n"/>
      <c r="N20" s="19" t="n"/>
      <c r="O20" s="23">
        <f>IF(E20="","",IF(M20="",-E20,M20-N20-E20))</f>
        <v/>
      </c>
      <c r="P20" s="19" t="n"/>
    </row>
    <row r="22">
      <c r="A22" s="24" t="inlineStr">
        <is>
          <t>TOTAIS</t>
        </is>
      </c>
      <c r="B22" s="24" t="n"/>
      <c r="C22" s="24" t="n"/>
      <c r="D22" s="24">
        <f>SUM(D7:D20)</f>
        <v/>
      </c>
      <c r="E22" s="24">
        <f>SUM(E7:E20)</f>
        <v/>
      </c>
      <c r="F22" s="24">
        <f>SUM(F7:F20)</f>
        <v/>
      </c>
      <c r="G22" s="24">
        <f>IF(D22=0,"",F22/D22)</f>
        <v/>
      </c>
      <c r="H22" s="24">
        <f>IF(F22=0,"",E22/F22)</f>
        <v/>
      </c>
      <c r="I22" s="24">
        <f>SUM(I7:I20)</f>
        <v/>
      </c>
      <c r="J22" s="24">
        <f>IF(F22=0,"",I22/F22)</f>
        <v/>
      </c>
      <c r="K22" s="24">
        <f>SUM(K7:K20)</f>
        <v/>
      </c>
      <c r="L22" s="24">
        <f>SUM(L7:L20)</f>
        <v/>
      </c>
      <c r="M22" s="24">
        <f>SUM(M7:M20)</f>
        <v/>
      </c>
      <c r="N22" s="24">
        <f>SUM(N7:N20)</f>
        <v/>
      </c>
      <c r="O22" s="24">
        <f>SUM(O7:O20)</f>
        <v/>
      </c>
      <c r="P22" s="24" t="n"/>
    </row>
    <row r="24">
      <c r="A24" t="inlineStr">
        <is>
          <t>Dica: uma linha por dia (totais) + linhas extras para keywords que estão queimando budget.</t>
        </is>
      </c>
    </row>
    <row r="25">
      <c r="A25" t="inlineStr">
        <is>
          <t>CTR% e CVR% formatados: selecione colunas e formate como porcentagem. CPC/Gasto como moeda USD.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55" customWidth="1" min="3" max="3"/>
  </cols>
  <sheetData>
    <row r="1">
      <c r="A1" s="6" t="inlineStr">
        <is>
          <t>DECISÃO EM 48–72h / US$ 50 — KILL · OTIMIZAR · SCALE</t>
        </is>
      </c>
    </row>
    <row r="3">
      <c r="A3" s="3" t="inlineStr">
        <is>
          <t>DADOS FINAIS DO TESTE (preencha ou puxe do diário)</t>
        </is>
      </c>
    </row>
    <row r="4">
      <c r="A4" s="4" t="inlineStr">
        <is>
          <t>Métrica</t>
        </is>
      </c>
      <c r="B4" s="4" t="inlineStr">
        <is>
          <t>Valor</t>
        </is>
      </c>
    </row>
    <row r="5">
      <c r="A5" s="18" t="inlineStr">
        <is>
          <t>Gasto total USD</t>
        </is>
      </c>
      <c r="B5" s="19" t="n">
        <v>0</v>
      </c>
    </row>
    <row r="6">
      <c r="A6" s="18" t="inlineStr">
        <is>
          <t>Cliques totais</t>
        </is>
      </c>
      <c r="B6" s="19" t="n">
        <v>0</v>
      </c>
    </row>
    <row r="7">
      <c r="A7" s="18" t="inlineStr">
        <is>
          <t>CPC médio</t>
        </is>
      </c>
      <c r="B7" s="23">
        <f>IF(B6=0,"",B5/B6)</f>
        <v/>
      </c>
    </row>
    <row r="8">
      <c r="A8" s="18" t="inlineStr">
        <is>
          <t>Cliques CTA</t>
        </is>
      </c>
      <c r="B8" s="19" t="n">
        <v>0</v>
      </c>
    </row>
    <row r="9">
      <c r="A9" s="18" t="inlineStr">
        <is>
          <t>CVR click→CTA</t>
        </is>
      </c>
      <c r="B9" s="23">
        <f>IF(B6=0,"",B8/B6)</f>
        <v/>
      </c>
    </row>
    <row r="10">
      <c r="A10" s="18" t="inlineStr">
        <is>
          <t>Vendas CB</t>
        </is>
      </c>
      <c r="B10" s="19" t="n">
        <v>0</v>
      </c>
    </row>
    <row r="11">
      <c r="A11" s="18" t="inlineStr">
        <is>
          <t>Comissão bruta USD</t>
        </is>
      </c>
      <c r="B11" s="19" t="n">
        <v>0</v>
      </c>
    </row>
    <row r="12">
      <c r="A12" s="18" t="inlineStr">
        <is>
          <t>Refund est. USD</t>
        </is>
      </c>
      <c r="B12" s="19" t="n">
        <v>0</v>
      </c>
    </row>
    <row r="13">
      <c r="A13" s="18" t="inlineStr">
        <is>
          <t>Lucro est. USD</t>
        </is>
      </c>
      <c r="B13" s="23">
        <f>B11-B12-B5</f>
        <v/>
      </c>
    </row>
    <row r="14">
      <c r="A14" s="18" t="inlineStr">
        <is>
          <t>EPC</t>
        </is>
      </c>
      <c r="B14" s="23">
        <f>IF(B6=0,"",B11/B6)</f>
        <v/>
      </c>
    </row>
    <row r="15">
      <c r="A15" s="18" t="inlineStr">
        <is>
          <t>EPC/CPC</t>
        </is>
      </c>
      <c r="B15" s="23">
        <f>IF(OR(B7="",B7=0),"",B14/B7)</f>
        <v/>
      </c>
    </row>
    <row r="17">
      <c r="A17" s="3" t="inlineStr">
        <is>
          <t>REGRAS DE DECISÃO (teste pequeno — use bom senso + números)</t>
        </is>
      </c>
    </row>
    <row r="18">
      <c r="A18" s="4" t="inlineStr">
        <is>
          <t>Resultado observado</t>
        </is>
      </c>
      <c r="B18" s="4" t="inlineStr">
        <is>
          <t>Decisão</t>
        </is>
      </c>
      <c r="C18" s="4" t="inlineStr">
        <is>
          <t>Próxima ação</t>
        </is>
      </c>
    </row>
    <row r="19" ht="40" customHeight="1">
      <c r="A19" s="7" t="inlineStr">
        <is>
          <t>Gasto ≥ $30–50, CTR &lt; 2% em Search, CPC alto, quase 0 CTA</t>
        </is>
      </c>
      <c r="B19" s="7" t="inlineStr">
        <is>
          <t>KILL ângulo/keywords</t>
        </is>
      </c>
      <c r="C19" s="7" t="inlineStr">
        <is>
          <t>Novo ângulo de copy ou novo conjunto de keywords; não aumente budget</t>
        </is>
      </c>
    </row>
    <row r="20" ht="40" customHeight="1">
      <c r="A20" s="7" t="inlineStr">
        <is>
          <t>CTR ok (≥3–5%), CTA CVR &lt; 10–15%, 0 vendas</t>
        </is>
      </c>
      <c r="B20" s="7" t="inlineStr">
        <is>
          <t>OTIMIZAR pré-sell</t>
        </is>
      </c>
      <c r="C20" s="7" t="inlineStr">
        <is>
          <t>H1/CTA/prova; message match; não culpe só a oferta ainda</t>
        </is>
      </c>
    </row>
    <row r="21" ht="40" customHeight="1">
      <c r="A21" s="7" t="inlineStr">
        <is>
          <t>CTA CVR boa, hops ok, 0 vendas com ≥ 40–50 hops</t>
        </is>
      </c>
      <c r="B21" s="7" t="inlineStr">
        <is>
          <t>OTIMIZAR ou KILL oferta</t>
        </is>
      </c>
      <c r="C21" s="7" t="inlineStr">
        <is>
          <t>Checar VSL mobile, geo, ticket; testar outra offer mesma vertical</t>
        </is>
      </c>
    </row>
    <row r="22" ht="40" customHeight="1">
      <c r="A22" s="7" t="inlineStr">
        <is>
          <t>1+ venda e EPC ≥ CPC (EPC/CPC ≥ 1.0) mesmo com sample pequeno</t>
        </is>
      </c>
      <c r="B22" s="7" t="inlineStr">
        <is>
          <t>OTIMIZAR → SCALE leve</t>
        </is>
      </c>
      <c r="C22" s="7" t="inlineStr">
        <is>
          <t>Subir budget 20–30%; reforçar keywords vencedoras; exact match</t>
        </is>
      </c>
    </row>
    <row r="23" ht="40" customHeight="1">
      <c r="A23" s="7" t="inlineStr">
        <is>
          <t>EPC/CPC ≥ 1.3 e lucro positivo após refund est.</t>
        </is>
      </c>
      <c r="B23" s="7" t="inlineStr">
        <is>
          <t>SCALE</t>
        </is>
      </c>
      <c r="C23" s="7" t="inlineStr">
        <is>
          <t>Clonar ad group; expandir keywords similares; manter compliance</t>
        </is>
      </c>
    </row>
    <row r="24" ht="40" customHeight="1">
      <c r="A24" s="7" t="inlineStr">
        <is>
          <t>Vendas com refund alto / chargeback risk</t>
        </is>
      </c>
      <c r="B24" s="7" t="inlineStr">
        <is>
          <t>OTIMIZAR claims / KILL se persistir</t>
        </is>
      </c>
      <c r="C24" s="7" t="inlineStr">
        <is>
          <t>Suavizar ângulo; alinhar expectativa à VSL</t>
        </is>
      </c>
    </row>
    <row r="25" ht="40" customHeight="1">
      <c r="A25" s="7" t="inlineStr">
        <is>
          <t>Anúncios disapproved / policy strike risk</t>
        </is>
      </c>
      <c r="B25" s="7" t="inlineStr">
        <is>
          <t>STOP imediato</t>
        </is>
      </c>
      <c r="C25" s="7" t="inlineStr">
        <is>
          <t>Corrigir LP/ads; não contornar; revisar aba 03</t>
        </is>
      </c>
    </row>
    <row r="26" ht="40" customHeight="1">
      <c r="A26" s="7" t="inlineStr">
        <is>
          <t>Dados insuficientes (&lt;15–20 cliques) e ainda tem budget</t>
        </is>
      </c>
      <c r="B26" s="7" t="inlineStr">
        <is>
          <t>CONTINUAR teste</t>
        </is>
      </c>
      <c r="C26" s="7" t="inlineStr">
        <is>
          <t>Não decida no escuro; foque keywords com impressões</t>
        </is>
      </c>
    </row>
    <row r="28">
      <c r="A28" s="3" t="inlineStr">
        <is>
          <t>SUA DECISÃO FINAL</t>
        </is>
      </c>
    </row>
    <row r="29">
      <c r="A29" t="inlineStr">
        <is>
          <t>Decisão</t>
        </is>
      </c>
      <c r="B29" s="5" t="inlineStr">
        <is>
          <t>PENDENTE</t>
        </is>
      </c>
    </row>
    <row r="30">
      <c r="A30" t="inlineStr">
        <is>
          <t>Por quê (1–3 frases)</t>
        </is>
      </c>
      <c r="B30" s="5" t="inlineStr"/>
    </row>
    <row r="31">
      <c r="A31" t="inlineStr">
        <is>
          <t>Próximo teste / ação</t>
        </is>
      </c>
      <c r="B31" s="5" t="inlineStr"/>
    </row>
  </sheetData>
  <mergeCells count="1">
    <mergeCell ref="A17:C17"/>
  </mergeCells>
  <dataValidations count="1">
    <dataValidation sqref="B29" showDropDown="0" showInputMessage="0" showErrorMessage="0" allowBlank="1" type="list">
      <formula1>"PENDENTE,KILL,OTIMIZAR,SCALE,CONTINUAR"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6" t="inlineStr">
        <is>
          <t>BREAK-EVEN CPC — CALCULADORA DO TESTE</t>
        </is>
      </c>
    </row>
    <row r="3">
      <c r="A3" s="3" t="inlineStr">
        <is>
          <t>ENTRADAS (amarelo)</t>
        </is>
      </c>
    </row>
    <row r="4">
      <c r="A4" s="4" t="inlineStr">
        <is>
          <t>Parâmetro</t>
        </is>
      </c>
      <c r="B4" s="4" t="inlineStr">
        <is>
          <t>Valor</t>
        </is>
      </c>
    </row>
    <row r="5">
      <c r="A5" s="18" t="inlineStr">
        <is>
          <t>Comissão média por venda (USD)</t>
        </is>
      </c>
      <c r="B5" s="19" t="n">
        <v>45</v>
      </c>
    </row>
    <row r="6">
      <c r="A6" s="18" t="inlineStr">
        <is>
          <t>Refund % estimado</t>
        </is>
      </c>
      <c r="B6" s="19" t="n">
        <v>0.1</v>
      </c>
    </row>
    <row r="7">
      <c r="A7" s="18" t="inlineStr">
        <is>
          <t>Comissão líquida após refund</t>
        </is>
      </c>
      <c r="B7" s="25">
        <f>B5*(1-B6)</f>
        <v/>
      </c>
    </row>
    <row r="8">
      <c r="A8" s="18" t="inlineStr">
        <is>
          <t>CVR hop→venda estimada</t>
        </is>
      </c>
      <c r="B8" s="19" t="n">
        <v>0.02</v>
      </c>
    </row>
    <row r="9">
      <c r="A9" s="18" t="inlineStr">
        <is>
          <t>CVR click→CTA/hop estimada</t>
        </is>
      </c>
      <c r="B9" s="19" t="n">
        <v>0.25</v>
      </c>
    </row>
    <row r="10">
      <c r="A10" s="18" t="inlineStr">
        <is>
          <t>CVR click→venda (auto)</t>
        </is>
      </c>
      <c r="B10" s="25">
        <f>B8*B9</f>
        <v/>
      </c>
    </row>
    <row r="11">
      <c r="A11" s="18" t="inlineStr">
        <is>
          <t>Break-even CPC (USD)</t>
        </is>
      </c>
      <c r="B11" s="25">
        <f>B7*B10</f>
        <v/>
      </c>
    </row>
    <row r="12">
      <c r="A12" s="18" t="inlineStr">
        <is>
          <t>CPC alvo TESTE (70% BE)</t>
        </is>
      </c>
      <c r="B12" s="25">
        <f>B11*0.7</f>
        <v/>
      </c>
    </row>
    <row r="13">
      <c r="A13" s="18" t="inlineStr">
        <is>
          <t>CPC alvo SCALE (55% BE)</t>
        </is>
      </c>
      <c r="B13" s="25">
        <f>B11*0.55</f>
        <v/>
      </c>
    </row>
    <row r="14">
      <c r="A14" s="18" t="inlineStr">
        <is>
          <t>Cliques com $50 no CPC alvo teste</t>
        </is>
      </c>
      <c r="B14" s="25">
        <f>IF(B12=0,"",50/B12)</f>
        <v/>
      </c>
    </row>
    <row r="15">
      <c r="A15" s="18" t="inlineStr">
        <is>
          <t>Vendas esperadas (ordem de grandeza) com $50</t>
        </is>
      </c>
      <c r="B15" s="25">
        <f>IF(OR(B10="",B14=""),"",B14*B10)</f>
        <v/>
      </c>
    </row>
    <row r="17">
      <c r="A17" s="3" t="inlineStr">
        <is>
          <t>INTERPRETAÇÃO</t>
        </is>
      </c>
    </row>
    <row r="18" ht="50" customHeight="1">
      <c r="A18" s="2" t="inlineStr">
        <is>
          <t>Se o CPC real no Keyword Planner ou na campanha for consistentemente &gt; Break-even CPC, o teste de $50 só serve para validar CTR/CTA — venda lucrativa exige melhor CVR, comissão maior ou CPC menor (long tail).</t>
        </is>
      </c>
    </row>
    <row r="20" ht="60" customHeight="1">
      <c r="A20" s="2" t="inlineStr">
        <is>
          <t>Exemplo: comissão $45, refund 10% → $40.5 líquido. CVR hop 2% e click→hop 25% → CVR final 0.5%. BE CPC = $0.202. Com $50 você compra ~248 cliques no CPC alvo 70% e espera ~1,2 vendas (ordem de grandeza). Ajuste os amarelos ao SEU produto.</t>
        </is>
      </c>
    </row>
  </sheetData>
  <mergeCells count="2">
    <mergeCell ref="A18:B18"/>
    <mergeCell ref="A20:B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45" customWidth="1" min="3" max="3"/>
    <col width="35" customWidth="1" min="4" max="4"/>
  </cols>
  <sheetData>
    <row r="1">
      <c r="A1" s="6" t="inlineStr">
        <is>
          <t>LINKS E FERRAMENTAS ÚTEIS</t>
        </is>
      </c>
    </row>
    <row r="2">
      <c r="A2" s="4" t="inlineStr">
        <is>
          <t>Categoria</t>
        </is>
      </c>
      <c r="B2" s="4" t="inlineStr">
        <is>
          <t>Recurso</t>
        </is>
      </c>
      <c r="C2" s="4" t="inlineStr">
        <is>
          <t>URL / Onde</t>
        </is>
      </c>
      <c r="D2" s="4" t="inlineStr">
        <is>
          <t>Uso</t>
        </is>
      </c>
    </row>
    <row r="3">
      <c r="A3" s="7" t="inlineStr">
        <is>
          <t>ClickBank</t>
        </is>
      </c>
      <c r="B3" s="7" t="inlineStr">
        <is>
          <t>Login / Marketplace</t>
        </is>
      </c>
      <c r="C3" s="7" t="inlineStr">
        <is>
          <t>https://www.clickbank.com/</t>
        </is>
      </c>
      <c r="D3" s="7" t="inlineStr">
        <is>
          <t>Ofertas, gravity, hops</t>
        </is>
      </c>
    </row>
    <row r="4">
      <c r="A4" s="7" t="inlineStr">
        <is>
          <t>ClickBank</t>
        </is>
      </c>
      <c r="B4" s="7" t="inlineStr">
        <is>
          <t>Help Center / Client Contract</t>
        </is>
      </c>
      <c r="C4" s="7" t="inlineStr">
        <is>
          <t>https://support.clickbank.com/</t>
        </is>
      </c>
      <c r="D4" s="7" t="inlineStr">
        <is>
          <t>Regras e strikes</t>
        </is>
      </c>
    </row>
    <row r="5">
      <c r="A5" s="7" t="inlineStr">
        <is>
          <t>ClickBank</t>
        </is>
      </c>
      <c r="B5" s="7" t="inlineStr">
        <is>
          <t>Hop link generator</t>
        </is>
      </c>
      <c r="C5" s="7" t="inlineStr">
        <is>
          <t>Dentro da conta → Promote</t>
        </is>
      </c>
      <c r="D5" s="7" t="inlineStr">
        <is>
          <t>Gerar SEU hop</t>
        </is>
      </c>
    </row>
    <row r="6">
      <c r="A6" s="7" t="inlineStr">
        <is>
          <t>Google Ads</t>
        </is>
      </c>
      <c r="B6" s="7" t="inlineStr">
        <is>
          <t>Google Ads</t>
        </is>
      </c>
      <c r="C6" s="7" t="inlineStr">
        <is>
          <t>https://ads.google.com/</t>
        </is>
      </c>
      <c r="D6" s="7" t="inlineStr">
        <is>
          <t>Campanhas</t>
        </is>
      </c>
    </row>
    <row r="7">
      <c r="A7" s="7" t="inlineStr">
        <is>
          <t>Google Ads</t>
        </is>
      </c>
      <c r="B7" s="7" t="inlineStr">
        <is>
          <t>Keyword Planner</t>
        </is>
      </c>
      <c r="C7" s="7" t="inlineStr">
        <is>
          <t>Dentro do Google Ads → Tools</t>
        </is>
      </c>
      <c r="D7" s="7" t="inlineStr">
        <is>
          <t>Volume e CPC</t>
        </is>
      </c>
    </row>
    <row r="8">
      <c r="A8" s="7" t="inlineStr">
        <is>
          <t>Google Ads</t>
        </is>
      </c>
      <c r="B8" s="7" t="inlineStr">
        <is>
          <t>Policy Center</t>
        </is>
      </c>
      <c r="C8" s="7" t="inlineStr">
        <is>
          <t>https://support.google.com/adspolicy/</t>
        </is>
      </c>
      <c r="D8" s="7" t="inlineStr">
        <is>
          <t>Evitar ban</t>
        </is>
      </c>
    </row>
    <row r="9">
      <c r="A9" s="7" t="inlineStr">
        <is>
          <t>Google Ads</t>
        </is>
      </c>
      <c r="B9" s="7" t="inlineStr">
        <is>
          <t>Tag Assistant</t>
        </is>
      </c>
      <c r="C9" s="7" t="inlineStr">
        <is>
          <t>Chrome extension / tagassistant.google.com</t>
        </is>
      </c>
      <c r="D9" s="7" t="inlineStr">
        <is>
          <t>Validar conversões</t>
        </is>
      </c>
    </row>
    <row r="10">
      <c r="A10" s="7" t="inlineStr">
        <is>
          <t>Tracking</t>
        </is>
      </c>
      <c r="B10" s="7" t="inlineStr">
        <is>
          <t>GA4</t>
        </is>
      </c>
      <c r="C10" s="7" t="inlineStr">
        <is>
          <t>https://analytics.google.com/</t>
        </is>
      </c>
      <c r="D10" s="7" t="inlineStr">
        <is>
          <t>Comportamento na pré-sell</t>
        </is>
      </c>
    </row>
    <row r="11">
      <c r="A11" s="7" t="inlineStr">
        <is>
          <t>Tracking</t>
        </is>
      </c>
      <c r="B11" s="7" t="inlineStr">
        <is>
          <t>GTM</t>
        </is>
      </c>
      <c r="C11" s="7" t="inlineStr">
        <is>
          <t>https://tagmanager.google.com/</t>
        </is>
      </c>
      <c r="D11" s="7" t="inlineStr">
        <is>
          <t>Clique no CTA</t>
        </is>
      </c>
    </row>
    <row r="12">
      <c r="A12" s="7" t="inlineStr">
        <is>
          <t>Pesquisa KW</t>
        </is>
      </c>
      <c r="B12" s="7" t="inlineStr">
        <is>
          <t>Google Autocomplete</t>
        </is>
      </c>
      <c r="C12" s="7" t="inlineStr">
        <is>
          <t>google.com</t>
        </is>
      </c>
      <c r="D12" s="7" t="inlineStr">
        <is>
          <t>Sugestões reais</t>
        </is>
      </c>
    </row>
    <row r="13">
      <c r="A13" s="7" t="inlineStr">
        <is>
          <t>Pesquisa KW</t>
        </is>
      </c>
      <c r="B13" s="7" t="inlineStr">
        <is>
          <t>AlsoAsked / foruns</t>
        </is>
      </c>
      <c r="C13" s="7" t="inlineStr">
        <is>
          <t>alsoasked.com / reddit</t>
        </is>
      </c>
      <c r="D13" s="7" t="inlineStr">
        <is>
          <t>Perguntas do avatar</t>
        </is>
      </c>
    </row>
    <row r="14">
      <c r="A14" s="7" t="inlineStr">
        <is>
          <t>Página</t>
        </is>
      </c>
      <c r="B14" s="7" t="inlineStr">
        <is>
          <t>PageSpeed Insights</t>
        </is>
      </c>
      <c r="C14" s="7" t="inlineStr">
        <is>
          <t>https://pagespeed.web.dev/</t>
        </is>
      </c>
      <c r="D14" s="7" t="inlineStr">
        <is>
          <t>Velocidade mobile</t>
        </is>
      </c>
    </row>
    <row r="15">
      <c r="A15" s="7" t="inlineStr">
        <is>
          <t>Compliance</t>
        </is>
      </c>
      <c r="B15" s="7" t="inlineStr">
        <is>
          <t>FTC endorsement guides (ref)</t>
        </is>
      </c>
      <c r="C15" s="7" t="inlineStr">
        <is>
          <t>https://www.ftc.gov/</t>
        </is>
      </c>
      <c r="D15" s="7" t="inlineStr">
        <is>
          <t>Disclosure afiliado</t>
        </is>
      </c>
    </row>
    <row r="16">
      <c r="A16" s="7" t="inlineStr">
        <is>
          <t>Interno</t>
        </is>
      </c>
      <c r="B16" s="7" t="inlineStr">
        <is>
          <t>SKILL.md do projeto</t>
        </is>
      </c>
      <c r="C16" s="7" t="inlineStr">
        <is>
          <t>Arquivo gerado no chat</t>
        </is>
      </c>
      <c r="D16" s="7" t="inlineStr">
        <is>
          <t>Playbooks e naming</t>
        </is>
      </c>
    </row>
    <row r="17">
      <c r="A17" s="7" t="inlineStr">
        <is>
          <t>Interno</t>
        </is>
      </c>
      <c r="B17" s="7" t="inlineStr">
        <is>
          <t>Planilha tracking multi-rede</t>
        </is>
      </c>
      <c r="C17" s="7" t="inlineStr">
        <is>
          <t>tracking_afiliados_...xlsx</t>
        </is>
      </c>
      <c r="D17" s="7" t="inlineStr">
        <is>
          <t>Escala multiplataforma</t>
        </is>
      </c>
    </row>
    <row r="20">
      <c r="A20" s="3" t="inlineStr">
        <is>
          <t>FLUXO DO DIA (quando for testar a palavra)</t>
        </is>
      </c>
    </row>
    <row r="21" ht="130" customHeight="1">
      <c r="A21" s="2" t="inlineStr">
        <is>
          <t xml:space="preserve">1) Abrir 09_BreakEven e fixar CPC alvo
2) Shortlist 5–8 KW na 05 + negativas
3) Confirmar hop + pré-sell (04) + anti-strike (03)
4) Publicar campanha (06) com budget diário $10–15
5) Após 2–4h: checar impressões/CPC; ajustar lances se 0 tráfego
6) Todo dia: 07_Diario_Teste + hops no ClickBank
7) Em $40: alerta — preparar decisão
8) Em $50 ou 72h: 08_Decisao_72h (KILL/OTIMIZAR/SCALE)
</t>
        </is>
      </c>
    </row>
  </sheetData>
  <mergeCells count="2">
    <mergeCell ref="A20:D20"/>
    <mergeCell ref="A21:D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12" customWidth="1" min="3" max="3"/>
  </cols>
  <sheetData>
    <row r="1">
      <c r="A1" s="6" t="inlineStr">
        <is>
          <t>SCRIPT DO DIA 1 — TESTAR A PALAVRA NO MENOR TEMPO (≤ $50)</t>
        </is>
      </c>
    </row>
    <row r="2">
      <c r="A2" s="2" t="inlineStr">
        <is>
          <t>Use isto como roteiro de execução. Tempo estimado de setup (se pré-sell já existe): 2–4 horas. Se pré-sell ainda não existe: complete aba 04 antes de gastar.</t>
        </is>
      </c>
    </row>
    <row r="3">
      <c r="A3" s="4" t="inlineStr">
        <is>
          <t>Bloco de tempo</t>
        </is>
      </c>
      <c r="B3" s="4" t="inlineStr">
        <is>
          <t>Ação</t>
        </is>
      </c>
      <c r="C3" s="4" t="inlineStr">
        <is>
          <t>Feito?</t>
        </is>
      </c>
    </row>
    <row r="4" ht="28" customHeight="1">
      <c r="A4" s="18" t="inlineStr">
        <is>
          <t>0–15 min</t>
        </is>
      </c>
      <c r="B4" s="7" t="inlineStr">
        <is>
          <t>Preencher 02_Produto_ClickBank (hop, comissão, geos, trademark)</t>
        </is>
      </c>
      <c r="C4" s="19" t="inlineStr">
        <is>
          <t>PENDENTE</t>
        </is>
      </c>
    </row>
    <row r="5" ht="28" customHeight="1">
      <c r="A5" s="18" t="inlineStr">
        <is>
          <t>15–30 min</t>
        </is>
      </c>
      <c r="B5" s="7" t="inlineStr">
        <is>
          <t>Rodar 09_BreakEven com sua comissão e CVRs conservadoras</t>
        </is>
      </c>
      <c r="C5" s="19" t="inlineStr">
        <is>
          <t>PENDENTE</t>
        </is>
      </c>
    </row>
    <row r="6" ht="28" customHeight="1">
      <c r="A6" s="18" t="inlineStr">
        <is>
          <t>30–60 min</t>
        </is>
      </c>
      <c r="B6" s="7" t="inlineStr">
        <is>
          <t>Keyword Planner + autocomplete → 15 ideias → shortlist 5–8 na aba 05</t>
        </is>
      </c>
      <c r="C6" s="19" t="inlineStr">
        <is>
          <t>PENDENTE</t>
        </is>
      </c>
    </row>
    <row r="7" ht="28" customHeight="1">
      <c r="A7" s="18" t="inlineStr">
        <is>
          <t>60–75 min</t>
        </is>
      </c>
      <c r="B7" s="7" t="inlineStr">
        <is>
          <t>Lista de 20+ negativas; incluir marca se proibida</t>
        </is>
      </c>
      <c r="C7" s="19" t="inlineStr">
        <is>
          <t>PENDENTE</t>
        </is>
      </c>
    </row>
    <row r="8" ht="28" customHeight="1">
      <c r="A8" s="18" t="inlineStr">
        <is>
          <t>75–90 min</t>
        </is>
      </c>
      <c r="B8" s="7" t="inlineStr">
        <is>
          <t>Revisar 03_Anti_Strike (itens críticos OK)</t>
        </is>
      </c>
      <c r="C8" s="19" t="inlineStr">
        <is>
          <t>PENDENTE</t>
        </is>
      </c>
    </row>
    <row r="9" ht="28" customHeight="1">
      <c r="A9" s="18" t="inlineStr">
        <is>
          <t>90–120 min</t>
        </is>
      </c>
      <c r="B9" s="7" t="inlineStr">
        <is>
          <t>Revisar pré-sell 04: H1 = keyword #1, CTA = hop testado, disclaimer</t>
        </is>
      </c>
      <c r="C9" s="19" t="inlineStr">
        <is>
          <t>PENDENTE</t>
        </is>
      </c>
    </row>
    <row r="10" ht="28" customHeight="1">
      <c r="A10" s="18" t="inlineStr">
        <is>
          <t>120–150 min</t>
        </is>
      </c>
      <c r="B10" s="7" t="inlineStr">
        <is>
          <t>Criar campanha Search (06): partners OFF, display OFF, geo certo, budget $10–15</t>
        </is>
      </c>
      <c r="C10" s="19" t="inlineStr">
        <is>
          <t>PENDENTE</t>
        </is>
      </c>
    </row>
    <row r="11" ht="28" customHeight="1">
      <c r="A11" s="18" t="inlineStr">
        <is>
          <t>150–170 min</t>
        </is>
      </c>
      <c r="B11" s="7" t="inlineStr">
        <is>
          <t>RSA + final URL pré-sell + UTM + conversão CTA validada no Tag Assistant</t>
        </is>
      </c>
      <c r="C11" s="19" t="inlineStr">
        <is>
          <t>PENDENTE</t>
        </is>
      </c>
    </row>
    <row r="12" ht="28" customHeight="1">
      <c r="A12" s="18" t="inlineStr">
        <is>
          <t>170–180 min</t>
        </is>
      </c>
      <c r="B12" s="7" t="inlineStr">
        <is>
          <t>Publicar. Anotar hora de go-live no diário</t>
        </is>
      </c>
      <c r="C12" s="19" t="inlineStr">
        <is>
          <t>PENDENTE</t>
        </is>
      </c>
    </row>
    <row r="13" ht="28" customHeight="1">
      <c r="A13" s="18" t="inlineStr">
        <is>
          <t>+2h depois</t>
        </is>
      </c>
      <c r="B13" s="7" t="inlineStr">
        <is>
          <t>Checar: impressões? CPC? CTR? Sem impressão → bid/geo/keyword</t>
        </is>
      </c>
      <c r="C13" s="19" t="inlineStr">
        <is>
          <t>PENDENTE</t>
        </is>
      </c>
    </row>
    <row r="14" ht="28" customHeight="1">
      <c r="A14" s="18" t="inlineStr">
        <is>
          <t>Fim do dia 1</t>
        </is>
      </c>
      <c r="B14" s="7" t="inlineStr">
        <is>
          <t>Preencher 07_Diario; hops no CB; pausar 1 keyword lixo se necessário</t>
        </is>
      </c>
      <c r="C14" s="19" t="inlineStr">
        <is>
          <t>PENDENTE</t>
        </is>
      </c>
    </row>
    <row r="15" ht="28" customHeight="1">
      <c r="A15" s="18" t="inlineStr">
        <is>
          <t>Dia 2–3</t>
        </is>
      </c>
      <c r="B15" s="7" t="inlineStr">
        <is>
          <t>Só otimizações leves (pausar KW, CTR); não redesenhar tudo</t>
        </is>
      </c>
      <c r="C15" s="19" t="inlineStr">
        <is>
          <t>PENDENTE</t>
        </is>
      </c>
    </row>
    <row r="16" ht="28" customHeight="1">
      <c r="A16" s="18" t="inlineStr">
        <is>
          <t>Dia 3 ou $50</t>
        </is>
      </c>
      <c r="B16" s="7" t="inlineStr">
        <is>
          <t>08_Decisao_72h — KILL / OTIMIZAR / SCALE</t>
        </is>
      </c>
      <c r="C16" s="19" t="inlineStr">
        <is>
          <t>PENDENTE</t>
        </is>
      </c>
    </row>
    <row r="19">
      <c r="A19" s="26" t="inlineStr">
        <is>
          <t>O QUE NÃO FAZER NO TESTE DE $50</t>
        </is>
      </c>
    </row>
    <row r="20">
      <c r="A20" t="inlineStr">
        <is>
          <t>✗ Broad match aberto com 50 keywords</t>
        </is>
      </c>
    </row>
    <row r="21">
      <c r="A21" t="inlineStr">
        <is>
          <t>✗ PMax ou YouTube no primeiro teste desta oferta</t>
        </is>
      </c>
    </row>
    <row r="22">
      <c r="A22" t="inlineStr">
        <is>
          <t>✗ Direct link para VSL de health sem bridge</t>
        </is>
      </c>
    </row>
    <row r="23">
      <c r="A23" t="inlineStr">
        <is>
          <t>✗ Mudar pré-sell e keywords ao mesmo tempo todo dia</t>
        </is>
      </c>
    </row>
    <row r="24">
      <c r="A24" t="inlineStr">
        <is>
          <t>✗ Ignorar vendor terms / trademark</t>
        </is>
      </c>
    </row>
    <row r="25">
      <c r="A25" t="inlineStr">
        <is>
          <t>✗ Escalar para $100/dia porque 'teve 1 venda'</t>
        </is>
      </c>
    </row>
  </sheetData>
  <mergeCells count="9">
    <mergeCell ref="A25:C25"/>
    <mergeCell ref="A19:C19"/>
    <mergeCell ref="A1:C1"/>
    <mergeCell ref="A23:C23"/>
    <mergeCell ref="A22:C22"/>
    <mergeCell ref="A21:C21"/>
    <mergeCell ref="A20:C20"/>
    <mergeCell ref="A24:C24"/>
    <mergeCell ref="A2:C2"/>
  </mergeCells>
  <dataValidations count="1">
    <dataValidation sqref="C4:C16" showDropDown="0" showInputMessage="0" showErrorMessage="0" allowBlank="1" type="list">
      <formula1>"PENDENTE,OK"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2026-07-15T02:18:06Z</dcterms:created>
  <dcterms:modified xmlns:dcterms="http://purl.org/dc/terms/" xmlns:xsi="http://www.w3.org/2001/XMLSchema-instance" xsi:type="dcterms:W3CDTF">2026-07-15T02:18:06Z</dcterms:modified>
</cp:coreProperties>
</file>