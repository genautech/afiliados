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iario" sheetId="3" state="visible" r:id="rId3"/>
    <sheet xmlns:r="http://schemas.openxmlformats.org/officeDocument/2006/relationships" name="Ofertas" sheetId="4" state="visible" r:id="rId4"/>
    <sheet xmlns:r="http://schemas.openxmlformats.org/officeDocument/2006/relationships" name="Campanhas_Google" sheetId="5" state="visible" r:id="rId5"/>
    <sheet xmlns:r="http://schemas.openxmlformats.org/officeDocument/2006/relationships" name="Testes_KillScale" sheetId="6" state="visible" r:id="rId6"/>
    <sheet xmlns:r="http://schemas.openxmlformats.org/officeDocument/2006/relationships" name="MaxWeb_Postback" sheetId="7" state="visible" r:id="rId7"/>
    <sheet xmlns:r="http://schemas.openxmlformats.org/officeDocument/2006/relationships" name="BreakEven" sheetId="8" state="visible" r:id="rId8"/>
  </sheets>
  <definedNames>
    <definedName name="_xlnm._FilterDatabase" localSheetId="2" hidden="1">'Diario'!$A$1:$W$50</definedName>
    <definedName name="_xlnm._FilterDatabase" localSheetId="3" hidden="1">'Ofertas'!$A$1:$S$30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R$ #,##0.00"/>
    <numFmt numFmtId="165" formatCode="yyyy-mm-dd"/>
    <numFmt numFmtId="166" formatCode="YYYY-MM-DD"/>
    <numFmt numFmtId="167" formatCode="0.0%"/>
    <numFmt numFmtId="168" formatCode="R$ #,##0.000"/>
  </numFmts>
  <fonts count="12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  <sz val="10"/>
    </font>
    <font>
      <b val="1"/>
      <sz val="9"/>
    </font>
    <font>
      <b val="1"/>
      <color rgb="001F4E79"/>
      <sz val="14"/>
    </font>
    <font>
      <b val="1"/>
    </font>
    <font>
      <i val="1"/>
      <color rgb="00888888"/>
      <sz val="9"/>
    </font>
    <font>
      <b val="1"/>
      <color rgb="001F4E79"/>
      <sz val="12"/>
    </font>
    <font>
      <b val="1"/>
      <color rgb="00FFFFFF"/>
      <sz val="11"/>
    </font>
    <font>
      <i val="1"/>
      <color rgb="00555555"/>
      <sz val="9"/>
    </font>
    <font>
      <i val="1"/>
      <color rgb="00666666"/>
      <sz val="9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2" borderId="1" pivotButton="0" quotePrefix="0" xfId="0"/>
    <xf numFmtId="164" fontId="4" fillId="3" borderId="1" pivotButton="0" quotePrefix="0" xfId="0"/>
    <xf numFmtId="2" fontId="4" fillId="3" borderId="1" pivotButton="0" quotePrefix="0" xfId="0"/>
    <xf numFmtId="0" fontId="4" fillId="3" borderId="1" pivotButton="0" quotePrefix="0" xfId="0"/>
    <xf numFmtId="10" fontId="4" fillId="3" borderId="1" pivotButton="0" quotePrefix="0" xfId="0"/>
    <xf numFmtId="166" fontId="0" fillId="4" borderId="0" pivotButton="0" quotePrefix="0" xfId="0"/>
    <xf numFmtId="0" fontId="6" fillId="0" borderId="0" pivotButton="0" quotePrefix="0" xfId="0"/>
    <xf numFmtId="164" fontId="0" fillId="0" borderId="1" pivotButton="0" quotePrefix="0" xfId="0"/>
    <xf numFmtId="2" fontId="0" fillId="0" borderId="1" pivotButton="0" quotePrefix="0" xfId="0"/>
    <xf numFmtId="0" fontId="9" fillId="0" borderId="0" pivotButton="0" quotePrefix="0" xfId="0"/>
    <xf numFmtId="166" fontId="0" fillId="0" borderId="1" pivotButton="0" quotePrefix="0" xfId="0"/>
    <xf numFmtId="1" fontId="0" fillId="0" borderId="1" pivotButton="0" quotePrefix="0" xfId="0"/>
    <xf numFmtId="10" fontId="0" fillId="0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7" borderId="1" pivotButton="0" quotePrefix="0" xfId="0"/>
    <xf numFmtId="0" fontId="10" fillId="0" borderId="0" pivotButton="0" quotePrefix="0" xfId="0"/>
    <xf numFmtId="0" fontId="4" fillId="0" borderId="0" pivotButton="0" quotePrefix="0" xfId="0"/>
    <xf numFmtId="0" fontId="0" fillId="8" borderId="1" pivotButton="0" quotePrefix="0" xfId="0"/>
    <xf numFmtId="0" fontId="5" fillId="2" borderId="0" pivotButton="0" quotePrefix="0" xfId="0"/>
    <xf numFmtId="164" fontId="0" fillId="4" borderId="1" pivotButton="0" quotePrefix="0" xfId="0"/>
    <xf numFmtId="167" fontId="0" fillId="4" borderId="1" pivotButton="0" quotePrefix="0" xfId="0"/>
    <xf numFmtId="10" fontId="0" fillId="4" borderId="1" pivotButton="0" quotePrefix="0" xfId="0"/>
    <xf numFmtId="2" fontId="0" fillId="4" borderId="1" pivotButton="0" quotePrefix="0" xfId="0"/>
    <xf numFmtId="0" fontId="5" fillId="2" borderId="1" pivotButton="0" quotePrefix="0" xfId="0"/>
    <xf numFmtId="164" fontId="0" fillId="3" borderId="1" pivotButton="0" quotePrefix="0" xfId="0"/>
    <xf numFmtId="168" fontId="0" fillId="3" borderId="1" pivotButton="0" quotePrefix="0" xfId="0"/>
    <xf numFmtId="168" fontId="0" fillId="6" borderId="1" pivotButton="0" quotePrefix="0" xfId="0"/>
    <xf numFmtId="0" fontId="11" fillId="0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PLANILHA DE TRACKING — Afiliados (ClickBank · BuyGoods · MaxWeb · Google Ads · BR)</t>
        </is>
      </c>
    </row>
    <row r="3">
      <c r="A3" s="2" t="inlineStr">
        <is>
          <t>Abas</t>
        </is>
      </c>
      <c r="B3" s="2" t="inlineStr">
        <is>
          <t>Para que serve</t>
        </is>
      </c>
    </row>
    <row r="4">
      <c r="A4" s="3" t="inlineStr">
        <is>
          <t>Instrucoes</t>
        </is>
      </c>
      <c r="B4" s="4" t="inlineStr">
        <is>
          <t>Este guia</t>
        </is>
      </c>
    </row>
    <row r="5">
      <c r="A5" s="3" t="inlineStr">
        <is>
          <t>Dashboard</t>
        </is>
      </c>
      <c r="B5" s="4" t="inlineStr">
        <is>
          <t>KPIs e resumo por rede e por canal Google (lê a aba Diario)</t>
        </is>
      </c>
    </row>
    <row r="6">
      <c r="A6" s="3" t="inlineStr">
        <is>
          <t>Diario</t>
        </is>
      </c>
      <c r="B6" s="4" t="inlineStr">
        <is>
          <t>LANÇAMENTO DIÁRIO — 1 linha por dia/campanha. Principal aba de preenchimento</t>
        </is>
      </c>
    </row>
    <row r="7">
      <c r="A7" s="3" t="inlineStr">
        <is>
          <t>Ofertas</t>
        </is>
      </c>
      <c r="B7" s="4" t="inlineStr">
        <is>
          <t>Cadastro de ofertas por rede (payout, terms, links, status)</t>
        </is>
      </c>
    </row>
    <row r="8">
      <c r="A8" s="3" t="inlineStr">
        <is>
          <t>Campanhas_Google</t>
        </is>
      </c>
      <c r="B8" s="4" t="inlineStr">
        <is>
          <t>Cadastro de campanhas (naming, UTM, conversão, budget)</t>
        </is>
      </c>
    </row>
    <row r="9">
      <c r="A9" s="3" t="inlineStr">
        <is>
          <t>Testes_KillScale</t>
        </is>
      </c>
      <c r="B9" s="4" t="inlineStr">
        <is>
          <t>Hipóteses de teste e decisão SCALE / OTIMIZAR / KILL</t>
        </is>
      </c>
    </row>
    <row r="10">
      <c r="A10" s="3" t="inlineStr">
        <is>
          <t>MaxWeb_Postback</t>
        </is>
      </c>
      <c r="B10" s="4" t="inlineStr">
        <is>
          <t>Checklist de tracking MaxWeb + log de conversões</t>
        </is>
      </c>
    </row>
    <row r="11">
      <c r="A11" s="3" t="inlineStr">
        <is>
          <t>BreakEven</t>
        </is>
      </c>
      <c r="B11" s="4" t="inlineStr">
        <is>
          <t>Calculadora de CPC máximo e alvo de escala</t>
        </is>
      </c>
    </row>
    <row r="14">
      <c r="A14" s="5" t="inlineStr">
        <is>
          <t>Fluxo recomendado</t>
        </is>
      </c>
    </row>
    <row r="15">
      <c r="A15" t="inlineStr">
        <is>
          <t>1. Cadastre a oferta em Ofertas (rede, payout, geo, se Google permite, link).</t>
        </is>
      </c>
    </row>
    <row r="16">
      <c r="A16" t="inlineStr">
        <is>
          <t>2. Crie a campanha em Campanhas_Google com Campanha_ID padronizado e UTM igual ao ID.</t>
        </is>
      </c>
    </row>
    <row r="17">
      <c r="A17" t="inlineStr">
        <is>
          <t>3. Calcule break-even na aba BreakEven (comissão, refund, CVR esperada).</t>
        </is>
      </c>
    </row>
    <row r="18">
      <c r="A18" t="inlineStr">
        <is>
          <t>4. Se MaxWeb: complete MaxWeb_Postback antes de gastar.</t>
        </is>
      </c>
    </row>
    <row r="19">
      <c r="A19" t="inlineStr">
        <is>
          <t>5. Rode o teste e registre hipótese em Testes_KillScale.</t>
        </is>
      </c>
    </row>
    <row r="20">
      <c r="A20" t="inlineStr">
        <is>
          <t>6. Todo dia: preencha Diario (cliques, CPC, conversões, receita, refunds).</t>
        </is>
      </c>
    </row>
    <row r="21">
      <c r="A21" t="inlineStr">
        <is>
          <t>7. Use Dashboard para ver lucro por rede/canal e decida SCALE / OTIMIZAR / KILL.</t>
        </is>
      </c>
    </row>
    <row r="22">
      <c r="A22" t="inlineStr">
        <is>
          <t>8. Moeda: use a mesma moeda em Gasto e Receita (ou converta USD→BRL na Receita).</t>
        </is>
      </c>
    </row>
    <row r="24">
      <c r="A24" s="6" t="inlineStr">
        <is>
          <t>Naming sugerido Campanha_ID</t>
        </is>
      </c>
    </row>
    <row r="25">
      <c r="A25" t="inlineStr">
        <is>
          <t>[REDE]_[VERTICAL]_[GEO]_[CANAL]_[FUNIL]_vN   |   Ex: CB_WL_US_SEARCH_BRIDGE_v1 · MW_NUTRA_BR_YT_SL_v1</t>
        </is>
      </c>
    </row>
    <row r="27">
      <c r="A27" s="7" t="inlineStr">
        <is>
          <t>Regra SCALE</t>
        </is>
      </c>
      <c r="B27" t="inlineStr">
        <is>
          <t>EPC &gt;= 1.3 × CPC  OU  eCPA &lt; payout líquido com margem — após volume mínimo de cliques</t>
        </is>
      </c>
    </row>
    <row r="28">
      <c r="A28" s="8" t="inlineStr">
        <is>
          <t>Regra KILL</t>
        </is>
      </c>
      <c r="B28" t="inlineStr">
        <is>
          <t>Sem conversão com gasto &gt;= orçamento de teste, ou EPC bem abaixo do CPC sem tendência</t>
        </is>
      </c>
    </row>
    <row r="29">
      <c r="A29" s="9" t="inlineStr">
        <is>
          <t>Regra OTIMIZAR</t>
        </is>
      </c>
      <c r="B29" t="inlineStr">
        <is>
          <t>Perto do BE: trocar ângulo, negativas, bridge, criativo ou match de keyword</t>
        </is>
      </c>
    </row>
  </sheetData>
  <mergeCells count="10">
    <mergeCell ref="A20:B20"/>
    <mergeCell ref="A21:B21"/>
    <mergeCell ref="A16:B16"/>
    <mergeCell ref="A15:B15"/>
    <mergeCell ref="A25:B25"/>
    <mergeCell ref="A19:B19"/>
    <mergeCell ref="A1:B1"/>
    <mergeCell ref="A17:B17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</cols>
  <sheetData>
    <row r="1">
      <c r="A1" s="1" t="inlineStr">
        <is>
          <t>TRACKING AFILIADOS — Dashboard</t>
        </is>
      </c>
    </row>
    <row r="2">
      <c r="A2" s="10" t="inlineStr">
        <is>
          <t>Atualizado: 2026-07-15 | Redes: ClickBank · BuyGoods · MaxWeb · Hotmart/Eduzz/Monetizze · Google Ads</t>
        </is>
      </c>
    </row>
    <row r="3"/>
    <row r="4">
      <c r="A4" s="11" t="inlineStr">
        <is>
          <t>Gasto Total (período)</t>
        </is>
      </c>
      <c r="B4" s="12">
        <f>SUMIF(Diario!A:A,"&gt;="&amp;B12,Diario!L:L)</f>
        <v/>
      </c>
      <c r="C4" s="11" t="inlineStr">
        <is>
          <t>Receita / Comissões</t>
        </is>
      </c>
      <c r="D4" s="12">
        <f>SUMIF(Diario!A:A,"&gt;="&amp;B12,Diario!N:N)</f>
        <v/>
      </c>
      <c r="E4" s="11" t="inlineStr">
        <is>
          <t>Lucro Líquido</t>
        </is>
      </c>
      <c r="F4" s="12">
        <f>D4-B4</f>
        <v/>
      </c>
    </row>
    <row r="5"/>
    <row r="6">
      <c r="A6" s="11" t="inlineStr">
        <is>
          <t>ROAS</t>
        </is>
      </c>
      <c r="B6" s="13">
        <f>IF(B4=0,0,D4/B4)</f>
        <v/>
      </c>
      <c r="C6" s="11" t="inlineStr">
        <is>
          <t>EPC Médio</t>
        </is>
      </c>
      <c r="D6" s="12">
        <f>IF(B8=0,0,D4/B8)</f>
        <v/>
      </c>
      <c r="E6" s="11" t="inlineStr">
        <is>
          <t>eCPA Médio</t>
        </is>
      </c>
      <c r="F6" s="12">
        <f>IF(D8=0,0,B4/D8)</f>
        <v/>
      </c>
    </row>
    <row r="7"/>
    <row r="8">
      <c r="A8" s="11" t="inlineStr">
        <is>
          <t>Cliques</t>
        </is>
      </c>
      <c r="B8" s="14">
        <f>SUMIF(Diario!A:A,"&gt;="&amp;B12,Diario!J:J)</f>
        <v/>
      </c>
      <c r="C8" s="11" t="inlineStr">
        <is>
          <t>Vendas / Leads</t>
        </is>
      </c>
      <c r="D8" s="14">
        <f>SUMIF(Diario!A:A,"&gt;="&amp;B12,Diario!M:M)</f>
        <v/>
      </c>
      <c r="E8" s="11" t="inlineStr">
        <is>
          <t>CVR %</t>
        </is>
      </c>
      <c r="F8" s="15">
        <f>IF(B8=0,0,D8/B8)</f>
        <v/>
      </c>
    </row>
    <row r="9"/>
    <row r="10"/>
    <row r="11">
      <c r="A11" s="6" t="inlineStr">
        <is>
          <t>Filtro período (data início)</t>
        </is>
      </c>
    </row>
    <row r="12">
      <c r="A12" t="inlineStr">
        <is>
          <t>Data início →</t>
        </is>
      </c>
      <c r="B12" s="16" t="n">
        <v>46204</v>
      </c>
      <c r="C12" s="17" t="inlineStr">
        <is>
          <t>(altere B12 para filtrar o dashboard)</t>
        </is>
      </c>
    </row>
    <row r="13"/>
    <row r="14">
      <c r="A14" s="5" t="inlineStr">
        <is>
          <t>RESUMO POR REDE</t>
        </is>
      </c>
    </row>
    <row r="15">
      <c r="A15" s="2" t="inlineStr">
        <is>
          <t>Rede</t>
        </is>
      </c>
      <c r="B15" s="2" t="inlineStr">
        <is>
          <t>Gasto</t>
        </is>
      </c>
      <c r="C15" s="2" t="inlineStr">
        <is>
          <t>Receita</t>
        </is>
      </c>
      <c r="D15" s="2" t="inlineStr">
        <is>
          <t>Lucro</t>
        </is>
      </c>
      <c r="E15" s="2" t="inlineStr">
        <is>
          <t>Cliques</t>
        </is>
      </c>
      <c r="F15" s="2" t="inlineStr">
        <is>
          <t>Conv.</t>
        </is>
      </c>
      <c r="G15" s="2" t="inlineStr">
        <is>
          <t>ROAS</t>
        </is>
      </c>
    </row>
    <row r="16">
      <c r="A16" s="4" t="inlineStr">
        <is>
          <t>ClickBank</t>
        </is>
      </c>
      <c r="B16" s="18">
        <f>SUMIF(Diario!C:C,A16,Diario!L:L)</f>
        <v/>
      </c>
      <c r="C16" s="18">
        <f>SUMIF(Diario!C:C,A16,Diario!N:N)</f>
        <v/>
      </c>
      <c r="D16" s="18">
        <f>C16-B16</f>
        <v/>
      </c>
      <c r="E16" s="4">
        <f>SUMIF(Diario!C:C,A16,Diario!J:J)</f>
        <v/>
      </c>
      <c r="F16" s="4">
        <f>SUMIF(Diario!C:C,A16,Diario!M:M)</f>
        <v/>
      </c>
      <c r="G16" s="19">
        <f>IF(B16=0,0,C16/B16)</f>
        <v/>
      </c>
    </row>
    <row r="17">
      <c r="A17" s="4" t="inlineStr">
        <is>
          <t>BuyGoods</t>
        </is>
      </c>
      <c r="B17" s="18">
        <f>SUMIF(Diario!C:C,A17,Diario!L:L)</f>
        <v/>
      </c>
      <c r="C17" s="18">
        <f>SUMIF(Diario!C:C,A17,Diario!N:N)</f>
        <v/>
      </c>
      <c r="D17" s="18">
        <f>C17-B17</f>
        <v/>
      </c>
      <c r="E17" s="4">
        <f>SUMIF(Diario!C:C,A17,Diario!J:J)</f>
        <v/>
      </c>
      <c r="F17" s="4">
        <f>SUMIF(Diario!C:C,A17,Diario!M:M)</f>
        <v/>
      </c>
      <c r="G17" s="19">
        <f>IF(B17=0,0,C17/B17)</f>
        <v/>
      </c>
    </row>
    <row r="18">
      <c r="A18" s="4" t="inlineStr">
        <is>
          <t>MaxWeb</t>
        </is>
      </c>
      <c r="B18" s="18">
        <f>SUMIF(Diario!C:C,A18,Diario!L:L)</f>
        <v/>
      </c>
      <c r="C18" s="18">
        <f>SUMIF(Diario!C:C,A18,Diario!N:N)</f>
        <v/>
      </c>
      <c r="D18" s="18">
        <f>C18-B18</f>
        <v/>
      </c>
      <c r="E18" s="4">
        <f>SUMIF(Diario!C:C,A18,Diario!J:J)</f>
        <v/>
      </c>
      <c r="F18" s="4">
        <f>SUMIF(Diario!C:C,A18,Diario!M:M)</f>
        <v/>
      </c>
      <c r="G18" s="19">
        <f>IF(B18=0,0,C18/B18)</f>
        <v/>
      </c>
    </row>
    <row r="19">
      <c r="A19" s="4" t="inlineStr">
        <is>
          <t>Hotmart</t>
        </is>
      </c>
      <c r="B19" s="18">
        <f>SUMIF(Diario!C:C,A19,Diario!L:L)</f>
        <v/>
      </c>
      <c r="C19" s="18">
        <f>SUMIF(Diario!C:C,A19,Diario!N:N)</f>
        <v/>
      </c>
      <c r="D19" s="18">
        <f>C19-B19</f>
        <v/>
      </c>
      <c r="E19" s="4">
        <f>SUMIF(Diario!C:C,A19,Diario!J:J)</f>
        <v/>
      </c>
      <c r="F19" s="4">
        <f>SUMIF(Diario!C:C,A19,Diario!M:M)</f>
        <v/>
      </c>
      <c r="G19" s="19">
        <f>IF(B19=0,0,C19/B19)</f>
        <v/>
      </c>
    </row>
    <row r="20">
      <c r="A20" s="4" t="inlineStr">
        <is>
          <t>Eduzz</t>
        </is>
      </c>
      <c r="B20" s="18">
        <f>SUMIF(Diario!C:C,A20,Diario!L:L)</f>
        <v/>
      </c>
      <c r="C20" s="18">
        <f>SUMIF(Diario!C:C,A20,Diario!N:N)</f>
        <v/>
      </c>
      <c r="D20" s="18">
        <f>C20-B20</f>
        <v/>
      </c>
      <c r="E20" s="4">
        <f>SUMIF(Diario!C:C,A20,Diario!J:J)</f>
        <v/>
      </c>
      <c r="F20" s="4">
        <f>SUMIF(Diario!C:C,A20,Diario!M:M)</f>
        <v/>
      </c>
      <c r="G20" s="19">
        <f>IF(B20=0,0,C20/B20)</f>
        <v/>
      </c>
    </row>
    <row r="21">
      <c r="A21" s="4" t="inlineStr">
        <is>
          <t>Monetizze</t>
        </is>
      </c>
      <c r="B21" s="18">
        <f>SUMIF(Diario!C:C,A21,Diario!L:L)</f>
        <v/>
      </c>
      <c r="C21" s="18">
        <f>SUMIF(Diario!C:C,A21,Diario!N:N)</f>
        <v/>
      </c>
      <c r="D21" s="18">
        <f>C21-B21</f>
        <v/>
      </c>
      <c r="E21" s="4">
        <f>SUMIF(Diario!C:C,A21,Diario!J:J)</f>
        <v/>
      </c>
      <c r="F21" s="4">
        <f>SUMIF(Diario!C:C,A21,Diario!M:M)</f>
        <v/>
      </c>
      <c r="G21" s="19">
        <f>IF(B21=0,0,C21/B21)</f>
        <v/>
      </c>
    </row>
    <row r="22"/>
    <row r="23"/>
    <row r="24">
      <c r="A24" s="5" t="inlineStr">
        <is>
          <t>RESUMO POR CANAL GOOGLE ADS</t>
        </is>
      </c>
    </row>
    <row r="25">
      <c r="A25" s="2" t="inlineStr">
        <is>
          <t>Canal Google</t>
        </is>
      </c>
      <c r="B25" s="2" t="inlineStr">
        <is>
          <t>Gasto</t>
        </is>
      </c>
      <c r="C25" s="2" t="inlineStr">
        <is>
          <t>Receita</t>
        </is>
      </c>
      <c r="D25" s="2" t="inlineStr">
        <is>
          <t>Lucro</t>
        </is>
      </c>
      <c r="E25" s="2" t="inlineStr">
        <is>
          <t>Cliques</t>
        </is>
      </c>
      <c r="F25" s="2" t="inlineStr">
        <is>
          <t>Conv.</t>
        </is>
      </c>
      <c r="G25" s="2" t="inlineStr">
        <is>
          <t>ROAS</t>
        </is>
      </c>
    </row>
    <row r="26">
      <c r="A26" s="4" t="inlineStr">
        <is>
          <t>Search</t>
        </is>
      </c>
      <c r="B26" s="18">
        <f>SUMIF(Diario!G:G,A26,Diario!L:L)</f>
        <v/>
      </c>
      <c r="C26" s="18">
        <f>SUMIF(Diario!G:G,A26,Diario!N:N)</f>
        <v/>
      </c>
      <c r="D26" s="18">
        <f>C26-B26</f>
        <v/>
      </c>
      <c r="E26" s="4">
        <f>SUMIF(Diario!G:G,A26,Diario!J:J)</f>
        <v/>
      </c>
      <c r="F26" s="4">
        <f>SUMIF(Diario!G:G,A26,Diario!M:M)</f>
        <v/>
      </c>
      <c r="G26" s="19">
        <f>IF(B26=0,0,C26/B26)</f>
        <v/>
      </c>
    </row>
    <row r="27">
      <c r="A27" s="4" t="inlineStr">
        <is>
          <t>YouTube</t>
        </is>
      </c>
      <c r="B27" s="18">
        <f>SUMIF(Diario!G:G,A27,Diario!L:L)</f>
        <v/>
      </c>
      <c r="C27" s="18">
        <f>SUMIF(Diario!G:G,A27,Diario!N:N)</f>
        <v/>
      </c>
      <c r="D27" s="18">
        <f>C27-B27</f>
        <v/>
      </c>
      <c r="E27" s="4">
        <f>SUMIF(Diario!G:G,A27,Diario!J:J)</f>
        <v/>
      </c>
      <c r="F27" s="4">
        <f>SUMIF(Diario!G:G,A27,Diario!M:M)</f>
        <v/>
      </c>
      <c r="G27" s="19">
        <f>IF(B27=0,0,C27/B27)</f>
        <v/>
      </c>
    </row>
    <row r="28">
      <c r="A28" s="4" t="inlineStr">
        <is>
          <t>Demand Gen</t>
        </is>
      </c>
      <c r="B28" s="18">
        <f>SUMIF(Diario!G:G,A28,Diario!L:L)</f>
        <v/>
      </c>
      <c r="C28" s="18">
        <f>SUMIF(Diario!G:G,A28,Diario!N:N)</f>
        <v/>
      </c>
      <c r="D28" s="18">
        <f>C28-B28</f>
        <v/>
      </c>
      <c r="E28" s="4">
        <f>SUMIF(Diario!G:G,A28,Diario!J:J)</f>
        <v/>
      </c>
      <c r="F28" s="4">
        <f>SUMIF(Diario!G:G,A28,Diario!M:M)</f>
        <v/>
      </c>
      <c r="G28" s="19">
        <f>IF(B28=0,0,C28/B28)</f>
        <v/>
      </c>
    </row>
    <row r="29">
      <c r="A29" s="4" t="inlineStr">
        <is>
          <t>PMax</t>
        </is>
      </c>
      <c r="B29" s="18">
        <f>SUMIF(Diario!G:G,A29,Diario!L:L)</f>
        <v/>
      </c>
      <c r="C29" s="18">
        <f>SUMIF(Diario!G:G,A29,Diario!N:N)</f>
        <v/>
      </c>
      <c r="D29" s="18">
        <f>C29-B29</f>
        <v/>
      </c>
      <c r="E29" s="4">
        <f>SUMIF(Diario!G:G,A29,Diario!J:J)</f>
        <v/>
      </c>
      <c r="F29" s="4">
        <f>SUMIF(Diario!G:G,A29,Diario!M:M)</f>
        <v/>
      </c>
      <c r="G29" s="19">
        <f>IF(B29=0,0,C29/B29)</f>
        <v/>
      </c>
    </row>
    <row r="30">
      <c r="A30" s="4" t="inlineStr">
        <is>
          <t>Display</t>
        </is>
      </c>
      <c r="B30" s="18">
        <f>SUMIF(Diario!G:G,A30,Diario!L:L)</f>
        <v/>
      </c>
      <c r="C30" s="18">
        <f>SUMIF(Diario!G:G,A30,Diario!N:N)</f>
        <v/>
      </c>
      <c r="D30" s="18">
        <f>C30-B30</f>
        <v/>
      </c>
      <c r="E30" s="4">
        <f>SUMIF(Diario!G:G,A30,Diario!J:J)</f>
        <v/>
      </c>
      <c r="F30" s="4">
        <f>SUMIF(Diario!G:G,A30,Diario!M:M)</f>
        <v/>
      </c>
      <c r="G30" s="19">
        <f>IF(B30=0,0,C30/B30)</f>
        <v/>
      </c>
    </row>
    <row r="31">
      <c r="A31" s="4" t="inlineStr">
        <is>
          <t>Outro</t>
        </is>
      </c>
      <c r="B31" s="18">
        <f>SUMIF(Diario!G:G,A31,Diario!L:L)</f>
        <v/>
      </c>
      <c r="C31" s="18">
        <f>SUMIF(Diario!G:G,A31,Diario!N:N)</f>
        <v/>
      </c>
      <c r="D31" s="18">
        <f>C31-B31</f>
        <v/>
      </c>
      <c r="E31" s="4">
        <f>SUMIF(Diario!G:G,A31,Diario!J:J)</f>
        <v/>
      </c>
      <c r="F31" s="4">
        <f>SUMIF(Diario!G:G,A31,Diario!M:M)</f>
        <v/>
      </c>
      <c r="G31" s="19">
        <f>IF(B31=0,0,C31/B31)</f>
        <v/>
      </c>
    </row>
    <row r="32"/>
    <row r="33"/>
    <row r="34">
      <c r="A34" s="6" t="inlineStr">
        <is>
          <t>LEGENDA DECISÃO</t>
        </is>
      </c>
    </row>
    <row r="35">
      <c r="A35" s="7" t="inlineStr">
        <is>
          <t>SCALE</t>
        </is>
      </c>
      <c r="B35" t="inlineStr">
        <is>
          <t>EPC &gt;= 1.3x CPC (ou eCPA &lt; payout com margem) + volume mínimo</t>
        </is>
      </c>
    </row>
    <row r="36">
      <c r="A36" s="9" t="inlineStr">
        <is>
          <t>OTIMIZAR</t>
        </is>
      </c>
      <c r="B36" t="inlineStr">
        <is>
          <t>Perto do break-even; ajustar criativo/keyword/bridge</t>
        </is>
      </c>
    </row>
    <row r="37">
      <c r="A37" s="8" t="inlineStr">
        <is>
          <t>KILL</t>
        </is>
      </c>
      <c r="B37" t="inlineStr">
        <is>
          <t>Abaixo do break-even sem tendência após teste mínimo</t>
        </is>
      </c>
    </row>
    <row r="38"/>
    <row r="39">
      <c r="A39" s="20" t="inlineStr">
        <is>
          <t>Como usar: preencha a aba Diario (1 linha por dia/campanha). Ofertas e Campanhas_Google são cadastros. Testes registra kill/scale. MaxWeb_Postback valida tracking.</t>
        </is>
      </c>
    </row>
  </sheetData>
  <mergeCells count="4">
    <mergeCell ref="A2:F2"/>
    <mergeCell ref="A14:G14"/>
    <mergeCell ref="A1:F1"/>
    <mergeCell ref="A39:G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1" customWidth="1" min="3" max="3"/>
    <col width="16" customWidth="1" min="4" max="4"/>
    <col width="13" customWidth="1" min="5" max="5"/>
    <col width="11" customWidth="1" min="6" max="6"/>
    <col width="14" customWidth="1" min="7" max="7"/>
    <col width="11" customWidth="1" min="8" max="8"/>
    <col width="12" customWidth="1" min="9" max="9"/>
    <col width="11" customWidth="1" min="10" max="10"/>
    <col width="11" customWidth="1" min="11" max="11"/>
    <col width="20" customWidth="1" min="12" max="12"/>
    <col width="12" customWidth="1" min="13" max="13"/>
    <col width="18" customWidth="1" min="14" max="14"/>
    <col width="18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1" customWidth="1" min="22" max="22"/>
    <col width="20" customWidth="1" min="23" max="23"/>
  </cols>
  <sheetData>
    <row r="1">
      <c r="A1" s="2" t="inlineStr">
        <is>
          <t>Data</t>
        </is>
      </c>
      <c r="B1" s="2" t="inlineStr">
        <is>
          <t>Campanha_ID</t>
        </is>
      </c>
      <c r="C1" s="2" t="inlineStr">
        <is>
          <t>Rede</t>
        </is>
      </c>
      <c r="D1" s="2" t="inlineStr">
        <is>
          <t>Oferta</t>
        </is>
      </c>
      <c r="E1" s="2" t="inlineStr">
        <is>
          <t>Vertical</t>
        </is>
      </c>
      <c r="F1" s="2" t="inlineStr">
        <is>
          <t>Geo</t>
        </is>
      </c>
      <c r="G1" s="2" t="inlineStr">
        <is>
          <t>Canal_Google</t>
        </is>
      </c>
      <c r="H1" s="2" t="inlineStr">
        <is>
          <t>Funil</t>
        </is>
      </c>
      <c r="I1" s="2" t="inlineStr">
        <is>
          <t>Impressoes</t>
        </is>
      </c>
      <c r="J1" s="2" t="inlineStr">
        <is>
          <t>Cliques</t>
        </is>
      </c>
      <c r="K1" s="2" t="inlineStr">
        <is>
          <t>CPC</t>
        </is>
      </c>
      <c r="L1" s="2" t="inlineStr">
        <is>
          <t>Gasto</t>
        </is>
      </c>
      <c r="M1" s="2" t="inlineStr">
        <is>
          <t>Conversoes</t>
        </is>
      </c>
      <c r="N1" s="2" t="inlineStr">
        <is>
          <t>Receita_Comissao</t>
        </is>
      </c>
      <c r="O1" s="2" t="inlineStr">
        <is>
          <t>Refunds_Clawback</t>
        </is>
      </c>
      <c r="P1" s="2" t="inlineStr">
        <is>
          <t>Receita_Liquida</t>
        </is>
      </c>
      <c r="Q1" s="2" t="inlineStr">
        <is>
          <t>Lucro</t>
        </is>
      </c>
      <c r="R1" s="2" t="inlineStr">
        <is>
          <t>EPC</t>
        </is>
      </c>
      <c r="S1" s="2" t="inlineStr">
        <is>
          <t>CVR</t>
        </is>
      </c>
      <c r="T1" s="2" t="inlineStr">
        <is>
          <t>ROAS</t>
        </is>
      </c>
      <c r="U1" s="2" t="inlineStr">
        <is>
          <t>eCPA</t>
        </is>
      </c>
      <c r="V1" s="2" t="inlineStr">
        <is>
          <t>Decisao</t>
        </is>
      </c>
      <c r="W1" s="2" t="inlineStr">
        <is>
          <t>Notas</t>
        </is>
      </c>
    </row>
    <row r="2">
      <c r="A2" s="21" t="n">
        <v>46213</v>
      </c>
      <c r="B2" s="4" t="inlineStr">
        <is>
          <t>CB_WL_US_SEARCH_BRIDGE_v1</t>
        </is>
      </c>
      <c r="C2" s="4" t="inlineStr">
        <is>
          <t>ClickBank</t>
        </is>
      </c>
      <c r="D2" s="4" t="inlineStr">
        <is>
          <t>Offer Alpha WL</t>
        </is>
      </c>
      <c r="E2" s="4" t="inlineStr">
        <is>
          <t>Weight Loss</t>
        </is>
      </c>
      <c r="F2" s="4" t="inlineStr">
        <is>
          <t>US</t>
        </is>
      </c>
      <c r="G2" s="4" t="inlineStr">
        <is>
          <t>Search</t>
        </is>
      </c>
      <c r="H2" s="4" t="inlineStr">
        <is>
          <t>Bridge</t>
        </is>
      </c>
      <c r="I2" s="4" t="n">
        <v>1200</v>
      </c>
      <c r="J2" s="4" t="n">
        <v>85</v>
      </c>
      <c r="K2" s="18" t="n">
        <v>1.2</v>
      </c>
      <c r="L2" s="18">
        <f>J2*K2</f>
        <v/>
      </c>
      <c r="M2" s="22" t="n">
        <v>3</v>
      </c>
      <c r="N2" s="18" t="n">
        <v>180</v>
      </c>
      <c r="O2" s="18" t="n">
        <v>0</v>
      </c>
      <c r="P2" s="18">
        <f>N2-O2</f>
        <v/>
      </c>
      <c r="Q2" s="18">
        <f>P2-L2</f>
        <v/>
      </c>
      <c r="R2" s="18">
        <f>IF(J2=0,0,P2/J2)</f>
        <v/>
      </c>
      <c r="S2" s="23">
        <f>IF(J2=0,0,M2/J2)</f>
        <v/>
      </c>
      <c r="T2" s="19">
        <f>IF(L2=0,0,P2/L2)</f>
        <v/>
      </c>
      <c r="U2" s="18">
        <f>IF(M2=0,0,L2/M2)</f>
        <v/>
      </c>
      <c r="V2" s="24" t="inlineStr">
        <is>
          <t>SCALE</t>
        </is>
      </c>
      <c r="W2" s="4" t="inlineStr">
        <is>
          <t>Bom QS</t>
        </is>
      </c>
    </row>
    <row r="3">
      <c r="A3" s="21" t="n">
        <v>46214</v>
      </c>
      <c r="B3" s="4" t="inlineStr">
        <is>
          <t>MW_NUTRA_BR_YT_SL_v1</t>
        </is>
      </c>
      <c r="C3" s="4" t="inlineStr">
        <is>
          <t>MaxWeb</t>
        </is>
      </c>
      <c r="D3" s="4" t="inlineStr">
        <is>
          <t>Smartlink Nutra</t>
        </is>
      </c>
      <c r="E3" s="4" t="inlineStr">
        <is>
          <t>Nutra</t>
        </is>
      </c>
      <c r="F3" s="4" t="inlineStr">
        <is>
          <t>BR</t>
        </is>
      </c>
      <c r="G3" s="4" t="inlineStr">
        <is>
          <t>YouTube</t>
        </is>
      </c>
      <c r="H3" s="4" t="inlineStr">
        <is>
          <t>Smartlink</t>
        </is>
      </c>
      <c r="I3" s="4" t="n">
        <v>8000</v>
      </c>
      <c r="J3" s="4" t="n">
        <v>220</v>
      </c>
      <c r="K3" s="18" t="n">
        <v>0.45</v>
      </c>
      <c r="L3" s="18">
        <f>J3*K3</f>
        <v/>
      </c>
      <c r="M3" s="22" t="n">
        <v>12</v>
      </c>
      <c r="N3" s="18" t="n">
        <v>96</v>
      </c>
      <c r="O3" s="18" t="n">
        <v>1</v>
      </c>
      <c r="P3" s="18">
        <f>N3-O3</f>
        <v/>
      </c>
      <c r="Q3" s="18">
        <f>P3-L3</f>
        <v/>
      </c>
      <c r="R3" s="18">
        <f>IF(J3=0,0,P3/J3)</f>
        <v/>
      </c>
      <c r="S3" s="23">
        <f>IF(J3=0,0,M3/J3)</f>
        <v/>
      </c>
      <c r="T3" s="19">
        <f>IF(L3=0,0,P3/L3)</f>
        <v/>
      </c>
      <c r="U3" s="18">
        <f>IF(M3=0,0,L3/M3)</f>
        <v/>
      </c>
      <c r="V3" s="25" t="inlineStr">
        <is>
          <t>OTIMIZAR</t>
        </is>
      </c>
      <c r="W3" s="4" t="inlineStr">
        <is>
          <t>Testar hook 2</t>
        </is>
      </c>
    </row>
    <row r="4">
      <c r="A4" s="21" t="n">
        <v>46215</v>
      </c>
      <c r="B4" s="4" t="inlineStr">
        <is>
          <t>BG_BEAUTY_US_DGEN_v1</t>
        </is>
      </c>
      <c r="C4" s="4" t="inlineStr">
        <is>
          <t>BuyGoods</t>
        </is>
      </c>
      <c r="D4" s="4" t="inlineStr">
        <is>
          <t>Serum X</t>
        </is>
      </c>
      <c r="E4" s="4" t="inlineStr">
        <is>
          <t>Beauty</t>
        </is>
      </c>
      <c r="F4" s="4" t="inlineStr">
        <is>
          <t>US</t>
        </is>
      </c>
      <c r="G4" s="4" t="inlineStr">
        <is>
          <t>Demand Gen</t>
        </is>
      </c>
      <c r="H4" s="4" t="inlineStr">
        <is>
          <t>Bridge</t>
        </is>
      </c>
      <c r="I4" s="4" t="n">
        <v>3500</v>
      </c>
      <c r="J4" s="4" t="n">
        <v>140</v>
      </c>
      <c r="K4" s="18" t="n">
        <v>0.8</v>
      </c>
      <c r="L4" s="18">
        <f>J4*K4</f>
        <v/>
      </c>
      <c r="M4" s="22" t="n">
        <v>2</v>
      </c>
      <c r="N4" s="18" t="n">
        <v>110</v>
      </c>
      <c r="O4" s="18" t="n">
        <v>0</v>
      </c>
      <c r="P4" s="18">
        <f>N4-O4</f>
        <v/>
      </c>
      <c r="Q4" s="18">
        <f>P4-L4</f>
        <v/>
      </c>
      <c r="R4" s="18">
        <f>IF(J4=0,0,P4/J4)</f>
        <v/>
      </c>
      <c r="S4" s="23">
        <f>IF(J4=0,0,M4/J4)</f>
        <v/>
      </c>
      <c r="T4" s="19">
        <f>IF(L4=0,0,P4/L4)</f>
        <v/>
      </c>
      <c r="U4" s="18">
        <f>IF(M4=0,0,L4/M4)</f>
        <v/>
      </c>
      <c r="V4" s="25" t="inlineStr">
        <is>
          <t>OTIMIZAR</t>
        </is>
      </c>
      <c r="W4" s="4" t="inlineStr">
        <is>
          <t>CVR baixa</t>
        </is>
      </c>
    </row>
    <row r="5">
      <c r="A5" s="21" t="n">
        <v>46216</v>
      </c>
      <c r="B5" s="4" t="inlineStr">
        <is>
          <t>CB_MM_US_SEARCH_v2</t>
        </is>
      </c>
      <c r="C5" s="4" t="inlineStr">
        <is>
          <t>ClickBank</t>
        </is>
      </c>
      <c r="D5" s="4" t="inlineStr">
        <is>
          <t>Offer Beta MMO</t>
        </is>
      </c>
      <c r="E5" s="4" t="inlineStr">
        <is>
          <t>Make Money</t>
        </is>
      </c>
      <c r="F5" s="4" t="inlineStr">
        <is>
          <t>US</t>
        </is>
      </c>
      <c r="G5" s="4" t="inlineStr">
        <is>
          <t>Search</t>
        </is>
      </c>
      <c r="H5" s="4" t="inlineStr">
        <is>
          <t>Bridge</t>
        </is>
      </c>
      <c r="I5" s="4" t="n">
        <v>900</v>
      </c>
      <c r="J5" s="4" t="n">
        <v>40</v>
      </c>
      <c r="K5" s="18" t="n">
        <v>2.1</v>
      </c>
      <c r="L5" s="18">
        <f>J5*K5</f>
        <v/>
      </c>
      <c r="M5" s="22" t="n">
        <v>0</v>
      </c>
      <c r="N5" s="18" t="n">
        <v>0</v>
      </c>
      <c r="O5" s="18" t="n">
        <v>0</v>
      </c>
      <c r="P5" s="18">
        <f>N5-O5</f>
        <v/>
      </c>
      <c r="Q5" s="18">
        <f>P5-L5</f>
        <v/>
      </c>
      <c r="R5" s="18">
        <f>IF(J5=0,0,P5/J5)</f>
        <v/>
      </c>
      <c r="S5" s="23">
        <f>IF(J5=0,0,M5/J5)</f>
        <v/>
      </c>
      <c r="T5" s="19">
        <f>IF(L5=0,0,P5/L5)</f>
        <v/>
      </c>
      <c r="U5" s="18">
        <f>IF(M5=0,0,L5/M5)</f>
        <v/>
      </c>
      <c r="V5" s="26" t="inlineStr">
        <is>
          <t>KILL</t>
        </is>
      </c>
      <c r="W5" s="4" t="inlineStr">
        <is>
          <t>CPC alto zero sale</t>
        </is>
      </c>
    </row>
    <row r="6">
      <c r="A6" s="21" t="n">
        <v>46217</v>
      </c>
      <c r="B6" s="4" t="inlineStr">
        <is>
          <t>HT_CURSO_BR_SEARCH_v1</t>
        </is>
      </c>
      <c r="C6" s="4" t="inlineStr">
        <is>
          <t>Hotmart</t>
        </is>
      </c>
      <c r="D6" s="4" t="inlineStr">
        <is>
          <t>Curso Y</t>
        </is>
      </c>
      <c r="E6" s="4" t="inlineStr">
        <is>
          <t>Educacao</t>
        </is>
      </c>
      <c r="F6" s="4" t="inlineStr">
        <is>
          <t>BR</t>
        </is>
      </c>
      <c r="G6" s="4" t="inlineStr">
        <is>
          <t>Search</t>
        </is>
      </c>
      <c r="H6" s="4" t="inlineStr">
        <is>
          <t>Direct</t>
        </is>
      </c>
      <c r="I6" s="4" t="n">
        <v>600</v>
      </c>
      <c r="J6" s="4" t="n">
        <v>55</v>
      </c>
      <c r="K6" s="18" t="n">
        <v>0.9</v>
      </c>
      <c r="L6" s="18">
        <f>J6*K6</f>
        <v/>
      </c>
      <c r="M6" s="22" t="n">
        <v>4</v>
      </c>
      <c r="N6" s="18" t="n">
        <v>320</v>
      </c>
      <c r="O6" s="18" t="n">
        <v>0</v>
      </c>
      <c r="P6" s="18">
        <f>N6-O6</f>
        <v/>
      </c>
      <c r="Q6" s="18">
        <f>P6-L6</f>
        <v/>
      </c>
      <c r="R6" s="18">
        <f>IF(J6=0,0,P6/J6)</f>
        <v/>
      </c>
      <c r="S6" s="23">
        <f>IF(J6=0,0,M6/J6)</f>
        <v/>
      </c>
      <c r="T6" s="19">
        <f>IF(L6=0,0,P6/L6)</f>
        <v/>
      </c>
      <c r="U6" s="18">
        <f>IF(M6=0,0,L6/M6)</f>
        <v/>
      </c>
      <c r="V6" s="24" t="inlineStr">
        <is>
          <t>SCALE</t>
        </is>
      </c>
      <c r="W6" s="4" t="inlineStr">
        <is>
          <t>Lançamento D2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18">
        <f>IF(J7="","",J7*K7)</f>
        <v/>
      </c>
      <c r="M7" s="4" t="n"/>
      <c r="N7" s="4" t="n"/>
      <c r="O7" s="4" t="n"/>
      <c r="P7" s="18">
        <f>IF(N7="","",N7-IF(O7="",0,O7))</f>
        <v/>
      </c>
      <c r="Q7" s="18">
        <f>IF(P7="","",P7-IF(L7="",0,L7))</f>
        <v/>
      </c>
      <c r="R7" s="18">
        <f>IF(OR(J7="",J7=0),"",P7/J7)</f>
        <v/>
      </c>
      <c r="S7" s="23">
        <f>IF(OR(J7="",J7=0),"",M7/J7)</f>
        <v/>
      </c>
      <c r="T7" s="19">
        <f>IF(OR(L7="",L7=0),"",P7/L7)</f>
        <v/>
      </c>
      <c r="U7" s="18">
        <f>IF(OR(M7="",M7=0),"",L7/M7)</f>
        <v/>
      </c>
      <c r="V7" s="4" t="n"/>
      <c r="W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18">
        <f>IF(J8="","",J8*K8)</f>
        <v/>
      </c>
      <c r="M8" s="4" t="n"/>
      <c r="N8" s="4" t="n"/>
      <c r="O8" s="4" t="n"/>
      <c r="P8" s="18">
        <f>IF(N8="","",N8-IF(O8="",0,O8))</f>
        <v/>
      </c>
      <c r="Q8" s="18">
        <f>IF(P8="","",P8-IF(L8="",0,L8))</f>
        <v/>
      </c>
      <c r="R8" s="18">
        <f>IF(OR(J8="",J8=0),"",P8/J8)</f>
        <v/>
      </c>
      <c r="S8" s="23">
        <f>IF(OR(J8="",J8=0),"",M8/J8)</f>
        <v/>
      </c>
      <c r="T8" s="19">
        <f>IF(OR(L8="",L8=0),"",P8/L8)</f>
        <v/>
      </c>
      <c r="U8" s="18">
        <f>IF(OR(M8="",M8=0),"",L8/M8)</f>
        <v/>
      </c>
      <c r="V8" s="4" t="n"/>
      <c r="W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18">
        <f>IF(J9="","",J9*K9)</f>
        <v/>
      </c>
      <c r="M9" s="4" t="n"/>
      <c r="N9" s="4" t="n"/>
      <c r="O9" s="4" t="n"/>
      <c r="P9" s="18">
        <f>IF(N9="","",N9-IF(O9="",0,O9))</f>
        <v/>
      </c>
      <c r="Q9" s="18">
        <f>IF(P9="","",P9-IF(L9="",0,L9))</f>
        <v/>
      </c>
      <c r="R9" s="18">
        <f>IF(OR(J9="",J9=0),"",P9/J9)</f>
        <v/>
      </c>
      <c r="S9" s="23">
        <f>IF(OR(J9="",J9=0),"",M9/J9)</f>
        <v/>
      </c>
      <c r="T9" s="19">
        <f>IF(OR(L9="",L9=0),"",P9/L9)</f>
        <v/>
      </c>
      <c r="U9" s="18">
        <f>IF(OR(M9="",M9=0),"",L9/M9)</f>
        <v/>
      </c>
      <c r="V9" s="4" t="n"/>
      <c r="W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18">
        <f>IF(J10="","",J10*K10)</f>
        <v/>
      </c>
      <c r="M10" s="4" t="n"/>
      <c r="N10" s="4" t="n"/>
      <c r="O10" s="4" t="n"/>
      <c r="P10" s="18">
        <f>IF(N10="","",N10-IF(O10="",0,O10))</f>
        <v/>
      </c>
      <c r="Q10" s="18">
        <f>IF(P10="","",P10-IF(L10="",0,L10))</f>
        <v/>
      </c>
      <c r="R10" s="18">
        <f>IF(OR(J10="",J10=0),"",P10/J10)</f>
        <v/>
      </c>
      <c r="S10" s="23">
        <f>IF(OR(J10="",J10=0),"",M10/J10)</f>
        <v/>
      </c>
      <c r="T10" s="19">
        <f>IF(OR(L10="",L10=0),"",P10/L10)</f>
        <v/>
      </c>
      <c r="U10" s="18">
        <f>IF(OR(M10="",M10=0),"",L10/M10)</f>
        <v/>
      </c>
      <c r="V10" s="4" t="n"/>
      <c r="W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18">
        <f>IF(J11="","",J11*K11)</f>
        <v/>
      </c>
      <c r="M11" s="4" t="n"/>
      <c r="N11" s="4" t="n"/>
      <c r="O11" s="4" t="n"/>
      <c r="P11" s="18">
        <f>IF(N11="","",N11-IF(O11="",0,O11))</f>
        <v/>
      </c>
      <c r="Q11" s="18">
        <f>IF(P11="","",P11-IF(L11="",0,L11))</f>
        <v/>
      </c>
      <c r="R11" s="18">
        <f>IF(OR(J11="",J11=0),"",P11/J11)</f>
        <v/>
      </c>
      <c r="S11" s="23">
        <f>IF(OR(J11="",J11=0),"",M11/J11)</f>
        <v/>
      </c>
      <c r="T11" s="19">
        <f>IF(OR(L11="",L11=0),"",P11/L11)</f>
        <v/>
      </c>
      <c r="U11" s="18">
        <f>IF(OR(M11="",M11=0),"",L11/M11)</f>
        <v/>
      </c>
      <c r="V11" s="4" t="n"/>
      <c r="W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18">
        <f>IF(J12="","",J12*K12)</f>
        <v/>
      </c>
      <c r="M12" s="4" t="n"/>
      <c r="N12" s="4" t="n"/>
      <c r="O12" s="4" t="n"/>
      <c r="P12" s="18">
        <f>IF(N12="","",N12-IF(O12="",0,O12))</f>
        <v/>
      </c>
      <c r="Q12" s="18">
        <f>IF(P12="","",P12-IF(L12="",0,L12))</f>
        <v/>
      </c>
      <c r="R12" s="18">
        <f>IF(OR(J12="",J12=0),"",P12/J12)</f>
        <v/>
      </c>
      <c r="S12" s="23">
        <f>IF(OR(J12="",J12=0),"",M12/J12)</f>
        <v/>
      </c>
      <c r="T12" s="19">
        <f>IF(OR(L12="",L12=0),"",P12/L12)</f>
        <v/>
      </c>
      <c r="U12" s="18">
        <f>IF(OR(M12="",M12=0),"",L12/M12)</f>
        <v/>
      </c>
      <c r="V12" s="4" t="n"/>
      <c r="W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18">
        <f>IF(J13="","",J13*K13)</f>
        <v/>
      </c>
      <c r="M13" s="4" t="n"/>
      <c r="N13" s="4" t="n"/>
      <c r="O13" s="4" t="n"/>
      <c r="P13" s="18">
        <f>IF(N13="","",N13-IF(O13="",0,O13))</f>
        <v/>
      </c>
      <c r="Q13" s="18">
        <f>IF(P13="","",P13-IF(L13="",0,L13))</f>
        <v/>
      </c>
      <c r="R13" s="18">
        <f>IF(OR(J13="",J13=0),"",P13/J13)</f>
        <v/>
      </c>
      <c r="S13" s="23">
        <f>IF(OR(J13="",J13=0),"",M13/J13)</f>
        <v/>
      </c>
      <c r="T13" s="19">
        <f>IF(OR(L13="",L13=0),"",P13/L13)</f>
        <v/>
      </c>
      <c r="U13" s="18">
        <f>IF(OR(M13="",M13=0),"",L13/M13)</f>
        <v/>
      </c>
      <c r="V13" s="4" t="n"/>
      <c r="W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18">
        <f>IF(J14="","",J14*K14)</f>
        <v/>
      </c>
      <c r="M14" s="4" t="n"/>
      <c r="N14" s="4" t="n"/>
      <c r="O14" s="4" t="n"/>
      <c r="P14" s="18">
        <f>IF(N14="","",N14-IF(O14="",0,O14))</f>
        <v/>
      </c>
      <c r="Q14" s="18">
        <f>IF(P14="","",P14-IF(L14="",0,L14))</f>
        <v/>
      </c>
      <c r="R14" s="18">
        <f>IF(OR(J14="",J14=0),"",P14/J14)</f>
        <v/>
      </c>
      <c r="S14" s="23">
        <f>IF(OR(J14="",J14=0),"",M14/J14)</f>
        <v/>
      </c>
      <c r="T14" s="19">
        <f>IF(OR(L14="",L14=0),"",P14/L14)</f>
        <v/>
      </c>
      <c r="U14" s="18">
        <f>IF(OR(M14="",M14=0),"",L14/M14)</f>
        <v/>
      </c>
      <c r="V14" s="4" t="n"/>
      <c r="W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18">
        <f>IF(J15="","",J15*K15)</f>
        <v/>
      </c>
      <c r="M15" s="4" t="n"/>
      <c r="N15" s="4" t="n"/>
      <c r="O15" s="4" t="n"/>
      <c r="P15" s="18">
        <f>IF(N15="","",N15-IF(O15="",0,O15))</f>
        <v/>
      </c>
      <c r="Q15" s="18">
        <f>IF(P15="","",P15-IF(L15="",0,L15))</f>
        <v/>
      </c>
      <c r="R15" s="18">
        <f>IF(OR(J15="",J15=0),"",P15/J15)</f>
        <v/>
      </c>
      <c r="S15" s="23">
        <f>IF(OR(J15="",J15=0),"",M15/J15)</f>
        <v/>
      </c>
      <c r="T15" s="19">
        <f>IF(OR(L15="",L15=0),"",P15/L15)</f>
        <v/>
      </c>
      <c r="U15" s="18">
        <f>IF(OR(M15="",M15=0),"",L15/M15)</f>
        <v/>
      </c>
      <c r="V15" s="4" t="n"/>
      <c r="W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18">
        <f>IF(J16="","",J16*K16)</f>
        <v/>
      </c>
      <c r="M16" s="4" t="n"/>
      <c r="N16" s="4" t="n"/>
      <c r="O16" s="4" t="n"/>
      <c r="P16" s="18">
        <f>IF(N16="","",N16-IF(O16="",0,O16))</f>
        <v/>
      </c>
      <c r="Q16" s="18">
        <f>IF(P16="","",P16-IF(L16="",0,L16))</f>
        <v/>
      </c>
      <c r="R16" s="18">
        <f>IF(OR(J16="",J16=0),"",P16/J16)</f>
        <v/>
      </c>
      <c r="S16" s="23">
        <f>IF(OR(J16="",J16=0),"",M16/J16)</f>
        <v/>
      </c>
      <c r="T16" s="19">
        <f>IF(OR(L16="",L16=0),"",P16/L16)</f>
        <v/>
      </c>
      <c r="U16" s="18">
        <f>IF(OR(M16="",M16=0),"",L16/M16)</f>
        <v/>
      </c>
      <c r="V16" s="4" t="n"/>
      <c r="W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18">
        <f>IF(J17="","",J17*K17)</f>
        <v/>
      </c>
      <c r="M17" s="4" t="n"/>
      <c r="N17" s="4" t="n"/>
      <c r="O17" s="4" t="n"/>
      <c r="P17" s="18">
        <f>IF(N17="","",N17-IF(O17="",0,O17))</f>
        <v/>
      </c>
      <c r="Q17" s="18">
        <f>IF(P17="","",P17-IF(L17="",0,L17))</f>
        <v/>
      </c>
      <c r="R17" s="18">
        <f>IF(OR(J17="",J17=0),"",P17/J17)</f>
        <v/>
      </c>
      <c r="S17" s="23">
        <f>IF(OR(J17="",J17=0),"",M17/J17)</f>
        <v/>
      </c>
      <c r="T17" s="19">
        <f>IF(OR(L17="",L17=0),"",P17/L17)</f>
        <v/>
      </c>
      <c r="U17" s="18">
        <f>IF(OR(M17="",M17=0),"",L17/M17)</f>
        <v/>
      </c>
      <c r="V17" s="4" t="n"/>
      <c r="W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18">
        <f>IF(J18="","",J18*K18)</f>
        <v/>
      </c>
      <c r="M18" s="4" t="n"/>
      <c r="N18" s="4" t="n"/>
      <c r="O18" s="4" t="n"/>
      <c r="P18" s="18">
        <f>IF(N18="","",N18-IF(O18="",0,O18))</f>
        <v/>
      </c>
      <c r="Q18" s="18">
        <f>IF(P18="","",P18-IF(L18="",0,L18))</f>
        <v/>
      </c>
      <c r="R18" s="18">
        <f>IF(OR(J18="",J18=0),"",P18/J18)</f>
        <v/>
      </c>
      <c r="S18" s="23">
        <f>IF(OR(J18="",J18=0),"",M18/J18)</f>
        <v/>
      </c>
      <c r="T18" s="19">
        <f>IF(OR(L18="",L18=0),"",P18/L18)</f>
        <v/>
      </c>
      <c r="U18" s="18">
        <f>IF(OR(M18="",M18=0),"",L18/M18)</f>
        <v/>
      </c>
      <c r="V18" s="4" t="n"/>
      <c r="W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18">
        <f>IF(J19="","",J19*K19)</f>
        <v/>
      </c>
      <c r="M19" s="4" t="n"/>
      <c r="N19" s="4" t="n"/>
      <c r="O19" s="4" t="n"/>
      <c r="P19" s="18">
        <f>IF(N19="","",N19-IF(O19="",0,O19))</f>
        <v/>
      </c>
      <c r="Q19" s="18">
        <f>IF(P19="","",P19-IF(L19="",0,L19))</f>
        <v/>
      </c>
      <c r="R19" s="18">
        <f>IF(OR(J19="",J19=0),"",P19/J19)</f>
        <v/>
      </c>
      <c r="S19" s="23">
        <f>IF(OR(J19="",J19=0),"",M19/J19)</f>
        <v/>
      </c>
      <c r="T19" s="19">
        <f>IF(OR(L19="",L19=0),"",P19/L19)</f>
        <v/>
      </c>
      <c r="U19" s="18">
        <f>IF(OR(M19="",M19=0),"",L19/M19)</f>
        <v/>
      </c>
      <c r="V19" s="4" t="n"/>
      <c r="W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18">
        <f>IF(J20="","",J20*K20)</f>
        <v/>
      </c>
      <c r="M20" s="4" t="n"/>
      <c r="N20" s="4" t="n"/>
      <c r="O20" s="4" t="n"/>
      <c r="P20" s="18">
        <f>IF(N20="","",N20-IF(O20="",0,O20))</f>
        <v/>
      </c>
      <c r="Q20" s="18">
        <f>IF(P20="","",P20-IF(L20="",0,L20))</f>
        <v/>
      </c>
      <c r="R20" s="18">
        <f>IF(OR(J20="",J20=0),"",P20/J20)</f>
        <v/>
      </c>
      <c r="S20" s="23">
        <f>IF(OR(J20="",J20=0),"",M20/J20)</f>
        <v/>
      </c>
      <c r="T20" s="19">
        <f>IF(OR(L20="",L20=0),"",P20/L20)</f>
        <v/>
      </c>
      <c r="U20" s="18">
        <f>IF(OR(M20="",M20=0),"",L20/M20)</f>
        <v/>
      </c>
      <c r="V20" s="4" t="n"/>
      <c r="W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18">
        <f>IF(J21="","",J21*K21)</f>
        <v/>
      </c>
      <c r="M21" s="4" t="n"/>
      <c r="N21" s="4" t="n"/>
      <c r="O21" s="4" t="n"/>
      <c r="P21" s="18">
        <f>IF(N21="","",N21-IF(O21="",0,O21))</f>
        <v/>
      </c>
      <c r="Q21" s="18">
        <f>IF(P21="","",P21-IF(L21="",0,L21))</f>
        <v/>
      </c>
      <c r="R21" s="18">
        <f>IF(OR(J21="",J21=0),"",P21/J21)</f>
        <v/>
      </c>
      <c r="S21" s="23">
        <f>IF(OR(J21="",J21=0),"",M21/J21)</f>
        <v/>
      </c>
      <c r="T21" s="19">
        <f>IF(OR(L21="",L21=0),"",P21/L21)</f>
        <v/>
      </c>
      <c r="U21" s="18">
        <f>IF(OR(M21="",M21=0),"",L21/M21)</f>
        <v/>
      </c>
      <c r="V21" s="4" t="n"/>
      <c r="W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18">
        <f>IF(J22="","",J22*K22)</f>
        <v/>
      </c>
      <c r="M22" s="4" t="n"/>
      <c r="N22" s="4" t="n"/>
      <c r="O22" s="4" t="n"/>
      <c r="P22" s="18">
        <f>IF(N22="","",N22-IF(O22="",0,O22))</f>
        <v/>
      </c>
      <c r="Q22" s="18">
        <f>IF(P22="","",P22-IF(L22="",0,L22))</f>
        <v/>
      </c>
      <c r="R22" s="18">
        <f>IF(OR(J22="",J22=0),"",P22/J22)</f>
        <v/>
      </c>
      <c r="S22" s="23">
        <f>IF(OR(J22="",J22=0),"",M22/J22)</f>
        <v/>
      </c>
      <c r="T22" s="19">
        <f>IF(OR(L22="",L22=0),"",P22/L22)</f>
        <v/>
      </c>
      <c r="U22" s="18">
        <f>IF(OR(M22="",M22=0),"",L22/M22)</f>
        <v/>
      </c>
      <c r="V22" s="4" t="n"/>
      <c r="W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18">
        <f>IF(J23="","",J23*K23)</f>
        <v/>
      </c>
      <c r="M23" s="4" t="n"/>
      <c r="N23" s="4" t="n"/>
      <c r="O23" s="4" t="n"/>
      <c r="P23" s="18">
        <f>IF(N23="","",N23-IF(O23="",0,O23))</f>
        <v/>
      </c>
      <c r="Q23" s="18">
        <f>IF(P23="","",P23-IF(L23="",0,L23))</f>
        <v/>
      </c>
      <c r="R23" s="18">
        <f>IF(OR(J23="",J23=0),"",P23/J23)</f>
        <v/>
      </c>
      <c r="S23" s="23">
        <f>IF(OR(J23="",J23=0),"",M23/J23)</f>
        <v/>
      </c>
      <c r="T23" s="19">
        <f>IF(OR(L23="",L23=0),"",P23/L23)</f>
        <v/>
      </c>
      <c r="U23" s="18">
        <f>IF(OR(M23="",M23=0),"",L23/M23)</f>
        <v/>
      </c>
      <c r="V23" s="4" t="n"/>
      <c r="W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18">
        <f>IF(J24="","",J24*K24)</f>
        <v/>
      </c>
      <c r="M24" s="4" t="n"/>
      <c r="N24" s="4" t="n"/>
      <c r="O24" s="4" t="n"/>
      <c r="P24" s="18">
        <f>IF(N24="","",N24-IF(O24="",0,O24))</f>
        <v/>
      </c>
      <c r="Q24" s="18">
        <f>IF(P24="","",P24-IF(L24="",0,L24))</f>
        <v/>
      </c>
      <c r="R24" s="18">
        <f>IF(OR(J24="",J24=0),"",P24/J24)</f>
        <v/>
      </c>
      <c r="S24" s="23">
        <f>IF(OR(J24="",J24=0),"",M24/J24)</f>
        <v/>
      </c>
      <c r="T24" s="19">
        <f>IF(OR(L24="",L24=0),"",P24/L24)</f>
        <v/>
      </c>
      <c r="U24" s="18">
        <f>IF(OR(M24="",M24=0),"",L24/M24)</f>
        <v/>
      </c>
      <c r="V24" s="4" t="n"/>
      <c r="W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18">
        <f>IF(J25="","",J25*K25)</f>
        <v/>
      </c>
      <c r="M25" s="4" t="n"/>
      <c r="N25" s="4" t="n"/>
      <c r="O25" s="4" t="n"/>
      <c r="P25" s="18">
        <f>IF(N25="","",N25-IF(O25="",0,O25))</f>
        <v/>
      </c>
      <c r="Q25" s="18">
        <f>IF(P25="","",P25-IF(L25="",0,L25))</f>
        <v/>
      </c>
      <c r="R25" s="18">
        <f>IF(OR(J25="",J25=0),"",P25/J25)</f>
        <v/>
      </c>
      <c r="S25" s="23">
        <f>IF(OR(J25="",J25=0),"",M25/J25)</f>
        <v/>
      </c>
      <c r="T25" s="19">
        <f>IF(OR(L25="",L25=0),"",P25/L25)</f>
        <v/>
      </c>
      <c r="U25" s="18">
        <f>IF(OR(M25="",M25=0),"",L25/M25)</f>
        <v/>
      </c>
      <c r="V25" s="4" t="n"/>
      <c r="W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18">
        <f>IF(J26="","",J26*K26)</f>
        <v/>
      </c>
      <c r="M26" s="4" t="n"/>
      <c r="N26" s="4" t="n"/>
      <c r="O26" s="4" t="n"/>
      <c r="P26" s="18">
        <f>IF(N26="","",N26-IF(O26="",0,O26))</f>
        <v/>
      </c>
      <c r="Q26" s="18">
        <f>IF(P26="","",P26-IF(L26="",0,L26))</f>
        <v/>
      </c>
      <c r="R26" s="18">
        <f>IF(OR(J26="",J26=0),"",P26/J26)</f>
        <v/>
      </c>
      <c r="S26" s="23">
        <f>IF(OR(J26="",J26=0),"",M26/J26)</f>
        <v/>
      </c>
      <c r="T26" s="19">
        <f>IF(OR(L26="",L26=0),"",P26/L26)</f>
        <v/>
      </c>
      <c r="U26" s="18">
        <f>IF(OR(M26="",M26=0),"",L26/M26)</f>
        <v/>
      </c>
      <c r="V26" s="4" t="n"/>
      <c r="W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18">
        <f>IF(J27="","",J27*K27)</f>
        <v/>
      </c>
      <c r="M27" s="4" t="n"/>
      <c r="N27" s="4" t="n"/>
      <c r="O27" s="4" t="n"/>
      <c r="P27" s="18">
        <f>IF(N27="","",N27-IF(O27="",0,O27))</f>
        <v/>
      </c>
      <c r="Q27" s="18">
        <f>IF(P27="","",P27-IF(L27="",0,L27))</f>
        <v/>
      </c>
      <c r="R27" s="18">
        <f>IF(OR(J27="",J27=0),"",P27/J27)</f>
        <v/>
      </c>
      <c r="S27" s="23">
        <f>IF(OR(J27="",J27=0),"",M27/J27)</f>
        <v/>
      </c>
      <c r="T27" s="19">
        <f>IF(OR(L27="",L27=0),"",P27/L27)</f>
        <v/>
      </c>
      <c r="U27" s="18">
        <f>IF(OR(M27="",M27=0),"",L27/M27)</f>
        <v/>
      </c>
      <c r="V27" s="4" t="n"/>
      <c r="W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18">
        <f>IF(J28="","",J28*K28)</f>
        <v/>
      </c>
      <c r="M28" s="4" t="n"/>
      <c r="N28" s="4" t="n"/>
      <c r="O28" s="4" t="n"/>
      <c r="P28" s="18">
        <f>IF(N28="","",N28-IF(O28="",0,O28))</f>
        <v/>
      </c>
      <c r="Q28" s="18">
        <f>IF(P28="","",P28-IF(L28="",0,L28))</f>
        <v/>
      </c>
      <c r="R28" s="18">
        <f>IF(OR(J28="",J28=0),"",P28/J28)</f>
        <v/>
      </c>
      <c r="S28" s="23">
        <f>IF(OR(J28="",J28=0),"",M28/J28)</f>
        <v/>
      </c>
      <c r="T28" s="19">
        <f>IF(OR(L28="",L28=0),"",P28/L28)</f>
        <v/>
      </c>
      <c r="U28" s="18">
        <f>IF(OR(M28="",M28=0),"",L28/M28)</f>
        <v/>
      </c>
      <c r="V28" s="4" t="n"/>
      <c r="W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18">
        <f>IF(J29="","",J29*K29)</f>
        <v/>
      </c>
      <c r="M29" s="4" t="n"/>
      <c r="N29" s="4" t="n"/>
      <c r="O29" s="4" t="n"/>
      <c r="P29" s="18">
        <f>IF(N29="","",N29-IF(O29="",0,O29))</f>
        <v/>
      </c>
      <c r="Q29" s="18">
        <f>IF(P29="","",P29-IF(L29="",0,L29))</f>
        <v/>
      </c>
      <c r="R29" s="18">
        <f>IF(OR(J29="",J29=0),"",P29/J29)</f>
        <v/>
      </c>
      <c r="S29" s="23">
        <f>IF(OR(J29="",J29=0),"",M29/J29)</f>
        <v/>
      </c>
      <c r="T29" s="19">
        <f>IF(OR(L29="",L29=0),"",P29/L29)</f>
        <v/>
      </c>
      <c r="U29" s="18">
        <f>IF(OR(M29="",M29=0),"",L29/M29)</f>
        <v/>
      </c>
      <c r="V29" s="4" t="n"/>
      <c r="W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18">
        <f>IF(J30="","",J30*K30)</f>
        <v/>
      </c>
      <c r="M30" s="4" t="n"/>
      <c r="N30" s="4" t="n"/>
      <c r="O30" s="4" t="n"/>
      <c r="P30" s="18">
        <f>IF(N30="","",N30-IF(O30="",0,O30))</f>
        <v/>
      </c>
      <c r="Q30" s="18">
        <f>IF(P30="","",P30-IF(L30="",0,L30))</f>
        <v/>
      </c>
      <c r="R30" s="18">
        <f>IF(OR(J30="",J30=0),"",P30/J30)</f>
        <v/>
      </c>
      <c r="S30" s="23">
        <f>IF(OR(J30="",J30=0),"",M30/J30)</f>
        <v/>
      </c>
      <c r="T30" s="19">
        <f>IF(OR(L30="",L30=0),"",P30/L30)</f>
        <v/>
      </c>
      <c r="U30" s="18">
        <f>IF(OR(M30="",M30=0),"",L30/M30)</f>
        <v/>
      </c>
      <c r="V30" s="4" t="n"/>
      <c r="W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18">
        <f>IF(J31="","",J31*K31)</f>
        <v/>
      </c>
      <c r="M31" s="4" t="n"/>
      <c r="N31" s="4" t="n"/>
      <c r="O31" s="4" t="n"/>
      <c r="P31" s="18">
        <f>IF(N31="","",N31-IF(O31="",0,O31))</f>
        <v/>
      </c>
      <c r="Q31" s="18">
        <f>IF(P31="","",P31-IF(L31="",0,L31))</f>
        <v/>
      </c>
      <c r="R31" s="18">
        <f>IF(OR(J31="",J31=0),"",P31/J31)</f>
        <v/>
      </c>
      <c r="S31" s="23">
        <f>IF(OR(J31="",J31=0),"",M31/J31)</f>
        <v/>
      </c>
      <c r="T31" s="19">
        <f>IF(OR(L31="",L31=0),"",P31/L31)</f>
        <v/>
      </c>
      <c r="U31" s="18">
        <f>IF(OR(M31="",M31=0),"",L31/M31)</f>
        <v/>
      </c>
      <c r="V31" s="4" t="n"/>
      <c r="W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18">
        <f>IF(J32="","",J32*K32)</f>
        <v/>
      </c>
      <c r="M32" s="4" t="n"/>
      <c r="N32" s="4" t="n"/>
      <c r="O32" s="4" t="n"/>
      <c r="P32" s="18">
        <f>IF(N32="","",N32-IF(O32="",0,O32))</f>
        <v/>
      </c>
      <c r="Q32" s="18">
        <f>IF(P32="","",P32-IF(L32="",0,L32))</f>
        <v/>
      </c>
      <c r="R32" s="18">
        <f>IF(OR(J32="",J32=0),"",P32/J32)</f>
        <v/>
      </c>
      <c r="S32" s="23">
        <f>IF(OR(J32="",J32=0),"",M32/J32)</f>
        <v/>
      </c>
      <c r="T32" s="19">
        <f>IF(OR(L32="",L32=0),"",P32/L32)</f>
        <v/>
      </c>
      <c r="U32" s="18">
        <f>IF(OR(M32="",M32=0),"",L32/M32)</f>
        <v/>
      </c>
      <c r="V32" s="4" t="n"/>
      <c r="W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18">
        <f>IF(J33="","",J33*K33)</f>
        <v/>
      </c>
      <c r="M33" s="4" t="n"/>
      <c r="N33" s="4" t="n"/>
      <c r="O33" s="4" t="n"/>
      <c r="P33" s="18">
        <f>IF(N33="","",N33-IF(O33="",0,O33))</f>
        <v/>
      </c>
      <c r="Q33" s="18">
        <f>IF(P33="","",P33-IF(L33="",0,L33))</f>
        <v/>
      </c>
      <c r="R33" s="18">
        <f>IF(OR(J33="",J33=0),"",P33/J33)</f>
        <v/>
      </c>
      <c r="S33" s="23">
        <f>IF(OR(J33="",J33=0),"",M33/J33)</f>
        <v/>
      </c>
      <c r="T33" s="19">
        <f>IF(OR(L33="",L33=0),"",P33/L33)</f>
        <v/>
      </c>
      <c r="U33" s="18">
        <f>IF(OR(M33="",M33=0),"",L33/M33)</f>
        <v/>
      </c>
      <c r="V33" s="4" t="n"/>
      <c r="W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18">
        <f>IF(J34="","",J34*K34)</f>
        <v/>
      </c>
      <c r="M34" s="4" t="n"/>
      <c r="N34" s="4" t="n"/>
      <c r="O34" s="4" t="n"/>
      <c r="P34" s="18">
        <f>IF(N34="","",N34-IF(O34="",0,O34))</f>
        <v/>
      </c>
      <c r="Q34" s="18">
        <f>IF(P34="","",P34-IF(L34="",0,L34))</f>
        <v/>
      </c>
      <c r="R34" s="18">
        <f>IF(OR(J34="",J34=0),"",P34/J34)</f>
        <v/>
      </c>
      <c r="S34" s="23">
        <f>IF(OR(J34="",J34=0),"",M34/J34)</f>
        <v/>
      </c>
      <c r="T34" s="19">
        <f>IF(OR(L34="",L34=0),"",P34/L34)</f>
        <v/>
      </c>
      <c r="U34" s="18">
        <f>IF(OR(M34="",M34=0),"",L34/M34)</f>
        <v/>
      </c>
      <c r="V34" s="4" t="n"/>
      <c r="W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18">
        <f>IF(J35="","",J35*K35)</f>
        <v/>
      </c>
      <c r="M35" s="4" t="n"/>
      <c r="N35" s="4" t="n"/>
      <c r="O35" s="4" t="n"/>
      <c r="P35" s="18">
        <f>IF(N35="","",N35-IF(O35="",0,O35))</f>
        <v/>
      </c>
      <c r="Q35" s="18">
        <f>IF(P35="","",P35-IF(L35="",0,L35))</f>
        <v/>
      </c>
      <c r="R35" s="18">
        <f>IF(OR(J35="",J35=0),"",P35/J35)</f>
        <v/>
      </c>
      <c r="S35" s="23">
        <f>IF(OR(J35="",J35=0),"",M35/J35)</f>
        <v/>
      </c>
      <c r="T35" s="19">
        <f>IF(OR(L35="",L35=0),"",P35/L35)</f>
        <v/>
      </c>
      <c r="U35" s="18">
        <f>IF(OR(M35="",M35=0),"",L35/M35)</f>
        <v/>
      </c>
      <c r="V35" s="4" t="n"/>
      <c r="W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18">
        <f>IF(J36="","",J36*K36)</f>
        <v/>
      </c>
      <c r="M36" s="4" t="n"/>
      <c r="N36" s="4" t="n"/>
      <c r="O36" s="4" t="n"/>
      <c r="P36" s="18">
        <f>IF(N36="","",N36-IF(O36="",0,O36))</f>
        <v/>
      </c>
      <c r="Q36" s="18">
        <f>IF(P36="","",P36-IF(L36="",0,L36))</f>
        <v/>
      </c>
      <c r="R36" s="18">
        <f>IF(OR(J36="",J36=0),"",P36/J36)</f>
        <v/>
      </c>
      <c r="S36" s="23">
        <f>IF(OR(J36="",J36=0),"",M36/J36)</f>
        <v/>
      </c>
      <c r="T36" s="19">
        <f>IF(OR(L36="",L36=0),"",P36/L36)</f>
        <v/>
      </c>
      <c r="U36" s="18">
        <f>IF(OR(M36="",M36=0),"",L36/M36)</f>
        <v/>
      </c>
      <c r="V36" s="4" t="n"/>
      <c r="W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18">
        <f>IF(J37="","",J37*K37)</f>
        <v/>
      </c>
      <c r="M37" s="4" t="n"/>
      <c r="N37" s="4" t="n"/>
      <c r="O37" s="4" t="n"/>
      <c r="P37" s="18">
        <f>IF(N37="","",N37-IF(O37="",0,O37))</f>
        <v/>
      </c>
      <c r="Q37" s="18">
        <f>IF(P37="","",P37-IF(L37="",0,L37))</f>
        <v/>
      </c>
      <c r="R37" s="18">
        <f>IF(OR(J37="",J37=0),"",P37/J37)</f>
        <v/>
      </c>
      <c r="S37" s="23">
        <f>IF(OR(J37="",J37=0),"",M37/J37)</f>
        <v/>
      </c>
      <c r="T37" s="19">
        <f>IF(OR(L37="",L37=0),"",P37/L37)</f>
        <v/>
      </c>
      <c r="U37" s="18">
        <f>IF(OR(M37="",M37=0),"",L37/M37)</f>
        <v/>
      </c>
      <c r="V37" s="4" t="n"/>
      <c r="W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18">
        <f>IF(J38="","",J38*K38)</f>
        <v/>
      </c>
      <c r="M38" s="4" t="n"/>
      <c r="N38" s="4" t="n"/>
      <c r="O38" s="4" t="n"/>
      <c r="P38" s="18">
        <f>IF(N38="","",N38-IF(O38="",0,O38))</f>
        <v/>
      </c>
      <c r="Q38" s="18">
        <f>IF(P38="","",P38-IF(L38="",0,L38))</f>
        <v/>
      </c>
      <c r="R38" s="18">
        <f>IF(OR(J38="",J38=0),"",P38/J38)</f>
        <v/>
      </c>
      <c r="S38" s="23">
        <f>IF(OR(J38="",J38=0),"",M38/J38)</f>
        <v/>
      </c>
      <c r="T38" s="19">
        <f>IF(OR(L38="",L38=0),"",P38/L38)</f>
        <v/>
      </c>
      <c r="U38" s="18">
        <f>IF(OR(M38="",M38=0),"",L38/M38)</f>
        <v/>
      </c>
      <c r="V38" s="4" t="n"/>
      <c r="W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18">
        <f>IF(J39="","",J39*K39)</f>
        <v/>
      </c>
      <c r="M39" s="4" t="n"/>
      <c r="N39" s="4" t="n"/>
      <c r="O39" s="4" t="n"/>
      <c r="P39" s="18">
        <f>IF(N39="","",N39-IF(O39="",0,O39))</f>
        <v/>
      </c>
      <c r="Q39" s="18">
        <f>IF(P39="","",P39-IF(L39="",0,L39))</f>
        <v/>
      </c>
      <c r="R39" s="18">
        <f>IF(OR(J39="",J39=0),"",P39/J39)</f>
        <v/>
      </c>
      <c r="S39" s="23">
        <f>IF(OR(J39="",J39=0),"",M39/J39)</f>
        <v/>
      </c>
      <c r="T39" s="19">
        <f>IF(OR(L39="",L39=0),"",P39/L39)</f>
        <v/>
      </c>
      <c r="U39" s="18">
        <f>IF(OR(M39="",M39=0),"",L39/M39)</f>
        <v/>
      </c>
      <c r="V39" s="4" t="n"/>
      <c r="W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18">
        <f>IF(J40="","",J40*K40)</f>
        <v/>
      </c>
      <c r="M40" s="4" t="n"/>
      <c r="N40" s="4" t="n"/>
      <c r="O40" s="4" t="n"/>
      <c r="P40" s="18">
        <f>IF(N40="","",N40-IF(O40="",0,O40))</f>
        <v/>
      </c>
      <c r="Q40" s="18">
        <f>IF(P40="","",P40-IF(L40="",0,L40))</f>
        <v/>
      </c>
      <c r="R40" s="18">
        <f>IF(OR(J40="",J40=0),"",P40/J40)</f>
        <v/>
      </c>
      <c r="S40" s="23">
        <f>IF(OR(J40="",J40=0),"",M40/J40)</f>
        <v/>
      </c>
      <c r="T40" s="19">
        <f>IF(OR(L40="",L40=0),"",P40/L40)</f>
        <v/>
      </c>
      <c r="U40" s="18">
        <f>IF(OR(M40="",M40=0),"",L40/M40)</f>
        <v/>
      </c>
      <c r="V40" s="4" t="n"/>
      <c r="W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18">
        <f>IF(J41="","",J41*K41)</f>
        <v/>
      </c>
      <c r="M41" s="4" t="n"/>
      <c r="N41" s="4" t="n"/>
      <c r="O41" s="4" t="n"/>
      <c r="P41" s="18">
        <f>IF(N41="","",N41-IF(O41="",0,O41))</f>
        <v/>
      </c>
      <c r="Q41" s="18">
        <f>IF(P41="","",P41-IF(L41="",0,L41))</f>
        <v/>
      </c>
      <c r="R41" s="18">
        <f>IF(OR(J41="",J41=0),"",P41/J41)</f>
        <v/>
      </c>
      <c r="S41" s="23">
        <f>IF(OR(J41="",J41=0),"",M41/J41)</f>
        <v/>
      </c>
      <c r="T41" s="19">
        <f>IF(OR(L41="",L41=0),"",P41/L41)</f>
        <v/>
      </c>
      <c r="U41" s="18">
        <f>IF(OR(M41="",M41=0),"",L41/M41)</f>
        <v/>
      </c>
      <c r="V41" s="4" t="n"/>
      <c r="W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18">
        <f>IF(J42="","",J42*K42)</f>
        <v/>
      </c>
      <c r="M42" s="4" t="n"/>
      <c r="N42" s="4" t="n"/>
      <c r="O42" s="4" t="n"/>
      <c r="P42" s="18">
        <f>IF(N42="","",N42-IF(O42="",0,O42))</f>
        <v/>
      </c>
      <c r="Q42" s="18">
        <f>IF(P42="","",P42-IF(L42="",0,L42))</f>
        <v/>
      </c>
      <c r="R42" s="18">
        <f>IF(OR(J42="",J42=0),"",P42/J42)</f>
        <v/>
      </c>
      <c r="S42" s="23">
        <f>IF(OR(J42="",J42=0),"",M42/J42)</f>
        <v/>
      </c>
      <c r="T42" s="19">
        <f>IF(OR(L42="",L42=0),"",P42/L42)</f>
        <v/>
      </c>
      <c r="U42" s="18">
        <f>IF(OR(M42="",M42=0),"",L42/M42)</f>
        <v/>
      </c>
      <c r="V42" s="4" t="n"/>
      <c r="W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18">
        <f>IF(J43="","",J43*K43)</f>
        <v/>
      </c>
      <c r="M43" s="4" t="n"/>
      <c r="N43" s="4" t="n"/>
      <c r="O43" s="4" t="n"/>
      <c r="P43" s="18">
        <f>IF(N43="","",N43-IF(O43="",0,O43))</f>
        <v/>
      </c>
      <c r="Q43" s="18">
        <f>IF(P43="","",P43-IF(L43="",0,L43))</f>
        <v/>
      </c>
      <c r="R43" s="18">
        <f>IF(OR(J43="",J43=0),"",P43/J43)</f>
        <v/>
      </c>
      <c r="S43" s="23">
        <f>IF(OR(J43="",J43=0),"",M43/J43)</f>
        <v/>
      </c>
      <c r="T43" s="19">
        <f>IF(OR(L43="",L43=0),"",P43/L43)</f>
        <v/>
      </c>
      <c r="U43" s="18">
        <f>IF(OR(M43="",M43=0),"",L43/M43)</f>
        <v/>
      </c>
      <c r="V43" s="4" t="n"/>
      <c r="W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18">
        <f>IF(J44="","",J44*K44)</f>
        <v/>
      </c>
      <c r="M44" s="4" t="n"/>
      <c r="N44" s="4" t="n"/>
      <c r="O44" s="4" t="n"/>
      <c r="P44" s="18">
        <f>IF(N44="","",N44-IF(O44="",0,O44))</f>
        <v/>
      </c>
      <c r="Q44" s="18">
        <f>IF(P44="","",P44-IF(L44="",0,L44))</f>
        <v/>
      </c>
      <c r="R44" s="18">
        <f>IF(OR(J44="",J44=0),"",P44/J44)</f>
        <v/>
      </c>
      <c r="S44" s="23">
        <f>IF(OR(J44="",J44=0),"",M44/J44)</f>
        <v/>
      </c>
      <c r="T44" s="19">
        <f>IF(OR(L44="",L44=0),"",P44/L44)</f>
        <v/>
      </c>
      <c r="U44" s="18">
        <f>IF(OR(M44="",M44=0),"",L44/M44)</f>
        <v/>
      </c>
      <c r="V44" s="4" t="n"/>
      <c r="W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18">
        <f>IF(J45="","",J45*K45)</f>
        <v/>
      </c>
      <c r="M45" s="4" t="n"/>
      <c r="N45" s="4" t="n"/>
      <c r="O45" s="4" t="n"/>
      <c r="P45" s="18">
        <f>IF(N45="","",N45-IF(O45="",0,O45))</f>
        <v/>
      </c>
      <c r="Q45" s="18">
        <f>IF(P45="","",P45-IF(L45="",0,L45))</f>
        <v/>
      </c>
      <c r="R45" s="18">
        <f>IF(OR(J45="",J45=0),"",P45/J45)</f>
        <v/>
      </c>
      <c r="S45" s="23">
        <f>IF(OR(J45="",J45=0),"",M45/J45)</f>
        <v/>
      </c>
      <c r="T45" s="19">
        <f>IF(OR(L45="",L45=0),"",P45/L45)</f>
        <v/>
      </c>
      <c r="U45" s="18">
        <f>IF(OR(M45="",M45=0),"",L45/M45)</f>
        <v/>
      </c>
      <c r="V45" s="4" t="n"/>
      <c r="W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18">
        <f>IF(J46="","",J46*K46)</f>
        <v/>
      </c>
      <c r="M46" s="4" t="n"/>
      <c r="N46" s="4" t="n"/>
      <c r="O46" s="4" t="n"/>
      <c r="P46" s="18">
        <f>IF(N46="","",N46-IF(O46="",0,O46))</f>
        <v/>
      </c>
      <c r="Q46" s="18">
        <f>IF(P46="","",P46-IF(L46="",0,L46))</f>
        <v/>
      </c>
      <c r="R46" s="18">
        <f>IF(OR(J46="",J46=0),"",P46/J46)</f>
        <v/>
      </c>
      <c r="S46" s="23">
        <f>IF(OR(J46="",J46=0),"",M46/J46)</f>
        <v/>
      </c>
      <c r="T46" s="19">
        <f>IF(OR(L46="",L46=0),"",P46/L46)</f>
        <v/>
      </c>
      <c r="U46" s="18">
        <f>IF(OR(M46="",M46=0),"",L46/M46)</f>
        <v/>
      </c>
      <c r="V46" s="4" t="n"/>
      <c r="W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18">
        <f>IF(J47="","",J47*K47)</f>
        <v/>
      </c>
      <c r="M47" s="4" t="n"/>
      <c r="N47" s="4" t="n"/>
      <c r="O47" s="4" t="n"/>
      <c r="P47" s="18">
        <f>IF(N47="","",N47-IF(O47="",0,O47))</f>
        <v/>
      </c>
      <c r="Q47" s="18">
        <f>IF(P47="","",P47-IF(L47="",0,L47))</f>
        <v/>
      </c>
      <c r="R47" s="18">
        <f>IF(OR(J47="",J47=0),"",P47/J47)</f>
        <v/>
      </c>
      <c r="S47" s="23">
        <f>IF(OR(J47="",J47=0),"",M47/J47)</f>
        <v/>
      </c>
      <c r="T47" s="19">
        <f>IF(OR(L47="",L47=0),"",P47/L47)</f>
        <v/>
      </c>
      <c r="U47" s="18">
        <f>IF(OR(M47="",M47=0),"",L47/M47)</f>
        <v/>
      </c>
      <c r="V47" s="4" t="n"/>
      <c r="W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18">
        <f>IF(J48="","",J48*K48)</f>
        <v/>
      </c>
      <c r="M48" s="4" t="n"/>
      <c r="N48" s="4" t="n"/>
      <c r="O48" s="4" t="n"/>
      <c r="P48" s="18">
        <f>IF(N48="","",N48-IF(O48="",0,O48))</f>
        <v/>
      </c>
      <c r="Q48" s="18">
        <f>IF(P48="","",P48-IF(L48="",0,L48))</f>
        <v/>
      </c>
      <c r="R48" s="18">
        <f>IF(OR(J48="",J48=0),"",P48/J48)</f>
        <v/>
      </c>
      <c r="S48" s="23">
        <f>IF(OR(J48="",J48=0),"",M48/J48)</f>
        <v/>
      </c>
      <c r="T48" s="19">
        <f>IF(OR(L48="",L48=0),"",P48/L48)</f>
        <v/>
      </c>
      <c r="U48" s="18">
        <f>IF(OR(M48="",M48=0),"",L48/M48)</f>
        <v/>
      </c>
      <c r="V48" s="4" t="n"/>
      <c r="W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18">
        <f>IF(J49="","",J49*K49)</f>
        <v/>
      </c>
      <c r="M49" s="4" t="n"/>
      <c r="N49" s="4" t="n"/>
      <c r="O49" s="4" t="n"/>
      <c r="P49" s="18">
        <f>IF(N49="","",N49-IF(O49="",0,O49))</f>
        <v/>
      </c>
      <c r="Q49" s="18">
        <f>IF(P49="","",P49-IF(L49="",0,L49))</f>
        <v/>
      </c>
      <c r="R49" s="18">
        <f>IF(OR(J49="",J49=0),"",P49/J49)</f>
        <v/>
      </c>
      <c r="S49" s="23">
        <f>IF(OR(J49="",J49=0),"",M49/J49)</f>
        <v/>
      </c>
      <c r="T49" s="19">
        <f>IF(OR(L49="",L49=0),"",P49/L49)</f>
        <v/>
      </c>
      <c r="U49" s="18">
        <f>IF(OR(M49="",M49=0),"",L49/M49)</f>
        <v/>
      </c>
      <c r="V49" s="4" t="n"/>
      <c r="W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18">
        <f>IF(J50="","",J50*K50)</f>
        <v/>
      </c>
      <c r="M50" s="4" t="n"/>
      <c r="N50" s="4" t="n"/>
      <c r="O50" s="4" t="n"/>
      <c r="P50" s="18">
        <f>IF(N50="","",N50-IF(O50="",0,O50))</f>
        <v/>
      </c>
      <c r="Q50" s="18">
        <f>IF(P50="","",P50-IF(L50="",0,L50))</f>
        <v/>
      </c>
      <c r="R50" s="18">
        <f>IF(OR(J50="",J50=0),"",P50/J50)</f>
        <v/>
      </c>
      <c r="S50" s="23">
        <f>IF(OR(J50="",J50=0),"",M50/J50)</f>
        <v/>
      </c>
      <c r="T50" s="19">
        <f>IF(OR(L50="",L50=0),"",P50/L50)</f>
        <v/>
      </c>
      <c r="U50" s="18">
        <f>IF(OR(M50="",M50=0),"",L50/M50)</f>
        <v/>
      </c>
      <c r="V50" s="4" t="n"/>
      <c r="W50" s="4" t="n"/>
    </row>
    <row r="51"/>
    <row r="52">
      <c r="A52" s="27" t="inlineStr">
        <is>
          <t>Valores Rede: ClickBank | BuyGoods | MaxWeb | Hotmart | Eduzz | Monetizze</t>
        </is>
      </c>
    </row>
    <row r="53">
      <c r="A53" s="27" t="inlineStr">
        <is>
          <t>Canal_Google: Search | YouTube | Demand Gen | PMax | Display | Outro</t>
        </is>
      </c>
    </row>
    <row r="54">
      <c r="A54" s="27" t="inlineStr">
        <is>
          <t>Funil: Direct | Bridge | Smartlink | Review | Lancamento</t>
        </is>
      </c>
    </row>
    <row r="55">
      <c r="A55" s="27" t="inlineStr">
        <is>
          <t>Decisao: SCALE | OTIMIZAR | KILL | TESTE</t>
        </is>
      </c>
    </row>
    <row r="56">
      <c r="A56" s="27" t="inlineStr">
        <is>
          <t>Preencha: Data, Campanha_ID, Rede, Oferta, Vertical, Geo, Canal, Funil, Impressoes, Cliques, CPC, Conversoes, Receita, Refunds, Decisao, Notas. O resto calcula sozinho.</t>
        </is>
      </c>
    </row>
  </sheetData>
  <autoFilter ref="A1:W50"/>
  <mergeCells count="5">
    <mergeCell ref="A56:H56"/>
    <mergeCell ref="A53:H53"/>
    <mergeCell ref="A55:H55"/>
    <mergeCell ref="A54:H54"/>
    <mergeCell ref="A52:H5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16" customWidth="1" min="5" max="5"/>
    <col width="17" customWidth="1" min="6" max="6"/>
    <col width="16" customWidth="1" min="7" max="7"/>
    <col width="23" customWidth="1" min="8" max="8"/>
    <col width="12" customWidth="1" min="9" max="9"/>
    <col width="19" customWidth="1" min="10" max="10"/>
    <col width="22" customWidth="1" min="11" max="11"/>
    <col width="19" customWidth="1" min="12" max="12"/>
    <col width="17" customWidth="1" min="13" max="13"/>
    <col width="24" customWidth="1" min="14" max="14"/>
    <col width="15" customWidth="1" min="15" max="15"/>
    <col width="12" customWidth="1" min="16" max="16"/>
    <col width="19" customWidth="1" min="17" max="17"/>
    <col width="12" customWidth="1" min="18" max="18"/>
    <col width="22" customWidth="1" min="19" max="19"/>
  </cols>
  <sheetData>
    <row r="1">
      <c r="A1" s="2" t="inlineStr">
        <is>
          <t>Oferta_ID</t>
        </is>
      </c>
      <c r="B1" s="2" t="inlineStr">
        <is>
          <t>Rede</t>
        </is>
      </c>
      <c r="C1" s="2" t="inlineStr">
        <is>
          <t>Nome_Oferta</t>
        </is>
      </c>
      <c r="D1" s="2" t="inlineStr">
        <is>
          <t>Vertical</t>
        </is>
      </c>
      <c r="E1" s="2" t="inlineStr">
        <is>
          <t>Geo_Permitidos</t>
        </is>
      </c>
      <c r="F1" s="2" t="inlineStr">
        <is>
          <t>Payout_Comissao</t>
        </is>
      </c>
      <c r="G1" s="2" t="inlineStr">
        <is>
          <t>Modelo</t>
        </is>
      </c>
      <c r="H1" s="2" t="inlineStr">
        <is>
          <t>Gravity_EPC_Ref</t>
        </is>
      </c>
      <c r="I1" s="2" t="inlineStr">
        <is>
          <t>Upsells</t>
        </is>
      </c>
      <c r="J1" s="2" t="inlineStr">
        <is>
          <t>Trademark_Bidding</t>
        </is>
      </c>
      <c r="K1" s="2" t="inlineStr">
        <is>
          <t>Google_Permitido</t>
        </is>
      </c>
      <c r="L1" s="2" t="inlineStr">
        <is>
          <t>Funil_Recomendado</t>
        </is>
      </c>
      <c r="M1" s="2" t="inlineStr">
        <is>
          <t>Vendor_Terms_OK</t>
        </is>
      </c>
      <c r="N1" s="2" t="inlineStr">
        <is>
          <t>Link_Hop_Smartlink</t>
        </is>
      </c>
      <c r="O1" s="2" t="inlineStr">
        <is>
          <t>BreakEven_CPC</t>
        </is>
      </c>
      <c r="P1" s="2" t="inlineStr">
        <is>
          <t>Status</t>
        </is>
      </c>
      <c r="Q1" s="2" t="inlineStr">
        <is>
          <t>Data_Inicio_Teste</t>
        </is>
      </c>
      <c r="R1" s="2" t="inlineStr">
        <is>
          <t>Resultado</t>
        </is>
      </c>
      <c r="S1" s="2" t="inlineStr">
        <is>
          <t>Notas</t>
        </is>
      </c>
    </row>
    <row r="2">
      <c r="A2" s="4" t="inlineStr">
        <is>
          <t>CB-001</t>
        </is>
      </c>
      <c r="B2" s="4" t="inlineStr">
        <is>
          <t>ClickBank</t>
        </is>
      </c>
      <c r="C2" s="4" t="inlineStr">
        <is>
          <t>Offer Alpha WL</t>
        </is>
      </c>
      <c r="D2" s="4" t="inlineStr">
        <is>
          <t>Weight Loss</t>
        </is>
      </c>
      <c r="E2" s="4" t="inlineStr">
        <is>
          <t>US,CA,AU</t>
        </is>
      </c>
      <c r="F2" s="4" t="inlineStr">
        <is>
          <t>US$60 avg</t>
        </is>
      </c>
      <c r="G2" s="4" t="inlineStr">
        <is>
          <t>CPA % + upsell</t>
        </is>
      </c>
      <c r="H2" s="4" t="inlineStr">
        <is>
          <t>Gravity 80 / EPC $1.2</t>
        </is>
      </c>
      <c r="I2" s="4" t="inlineStr">
        <is>
          <t>Sim</t>
        </is>
      </c>
      <c r="J2" s="4" t="inlineStr">
        <is>
          <t>Proibido</t>
        </is>
      </c>
      <c r="K2" s="4" t="inlineStr">
        <is>
          <t>Search,YT com bridge</t>
        </is>
      </c>
      <c r="L2" s="4" t="inlineStr">
        <is>
          <t>Bridge</t>
        </is>
      </c>
      <c r="M2" s="4" t="inlineStr">
        <is>
          <t>Sim</t>
        </is>
      </c>
      <c r="N2" s="4" t="inlineStr">
        <is>
          <t>https://hop.link/exemplo</t>
        </is>
      </c>
      <c r="O2" s="4" t="n">
        <v>1.5</v>
      </c>
      <c r="P2" s="4" t="inlineStr">
        <is>
          <t>Ativa</t>
        </is>
      </c>
      <c r="Q2" s="21" t="n">
        <v>46204</v>
      </c>
      <c r="R2" s="24" t="inlineStr">
        <is>
          <t>SCALE</t>
        </is>
      </c>
      <c r="S2" s="4" t="inlineStr">
        <is>
          <t>Melhor EPC Search</t>
        </is>
      </c>
    </row>
    <row r="3">
      <c r="A3" s="4" t="inlineStr">
        <is>
          <t>BG-001</t>
        </is>
      </c>
      <c r="B3" s="4" t="inlineStr">
        <is>
          <t>BuyGoods</t>
        </is>
      </c>
      <c r="C3" s="4" t="inlineStr">
        <is>
          <t>Serum X</t>
        </is>
      </c>
      <c r="D3" s="4" t="inlineStr">
        <is>
          <t>Beauty</t>
        </is>
      </c>
      <c r="E3" s="4" t="inlineStr">
        <is>
          <t>US,UK</t>
        </is>
      </c>
      <c r="F3" s="4" t="inlineStr">
        <is>
          <t>US$55</t>
        </is>
      </c>
      <c r="G3" s="4" t="inlineStr">
        <is>
          <t>CPA</t>
        </is>
      </c>
      <c r="H3" s="4" t="inlineStr">
        <is>
          <t>—</t>
        </is>
      </c>
      <c r="I3" s="4" t="inlineStr">
        <is>
          <t>Sim</t>
        </is>
      </c>
      <c r="J3" s="4" t="inlineStr">
        <is>
          <t>Proibido</t>
        </is>
      </c>
      <c r="K3" s="4" t="inlineStr">
        <is>
          <t>Demand Gen,YT</t>
        </is>
      </c>
      <c r="L3" s="4" t="inlineStr">
        <is>
          <t>Bridge</t>
        </is>
      </c>
      <c r="M3" s="4" t="inlineStr">
        <is>
          <t>Sim</t>
        </is>
      </c>
      <c r="N3" s="4" t="inlineStr">
        <is>
          <t>https://buygoods.exemplo</t>
        </is>
      </c>
      <c r="O3" s="4" t="n">
        <v>1.1</v>
      </c>
      <c r="P3" s="4" t="inlineStr">
        <is>
          <t>Teste</t>
        </is>
      </c>
      <c r="Q3" s="21" t="n">
        <v>46213</v>
      </c>
      <c r="R3" s="25" t="inlineStr">
        <is>
          <t>OTIMIZAR</t>
        </is>
      </c>
      <c r="S3" s="4" t="inlineStr">
        <is>
          <t>Precisa criativo UGC</t>
        </is>
      </c>
    </row>
    <row r="4">
      <c r="A4" s="4" t="inlineStr">
        <is>
          <t>MW-001</t>
        </is>
      </c>
      <c r="B4" s="4" t="inlineStr">
        <is>
          <t>MaxWeb</t>
        </is>
      </c>
      <c r="C4" s="4" t="inlineStr">
        <is>
          <t>Smartlink Nutra BR</t>
        </is>
      </c>
      <c r="D4" s="4" t="inlineStr">
        <is>
          <t>Nutra</t>
        </is>
      </c>
      <c r="E4" s="4" t="inlineStr">
        <is>
          <t>BR</t>
        </is>
      </c>
      <c r="F4" s="4" t="inlineStr">
        <is>
          <t>R$8 CPL</t>
        </is>
      </c>
      <c r="G4" s="4" t="inlineStr">
        <is>
          <t>CPL</t>
        </is>
      </c>
      <c r="H4" s="4" t="inlineStr">
        <is>
          <t>—</t>
        </is>
      </c>
      <c r="I4" s="4" t="inlineStr">
        <is>
          <t>N/A</t>
        </is>
      </c>
      <c r="J4" s="4" t="inlineStr">
        <is>
          <t>N/A</t>
        </is>
      </c>
      <c r="K4" s="4" t="inlineStr">
        <is>
          <t>YT,Search</t>
        </is>
      </c>
      <c r="L4" s="4" t="inlineStr">
        <is>
          <t>Smartlink</t>
        </is>
      </c>
      <c r="M4" s="4" t="inlineStr">
        <is>
          <t>Sim</t>
        </is>
      </c>
      <c r="N4" s="4" t="inlineStr">
        <is>
          <t>https://maxweb.exemplo/sl</t>
        </is>
      </c>
      <c r="O4" s="4" t="n">
        <v>0.6</v>
      </c>
      <c r="P4" s="4" t="inlineStr">
        <is>
          <t>Ativa</t>
        </is>
      </c>
      <c r="Q4" s="21" t="n">
        <v>46208</v>
      </c>
      <c r="R4" s="25" t="inlineStr">
        <is>
          <t>OTIMIZAR</t>
        </is>
      </c>
      <c r="S4" s="4" t="inlineStr">
        <is>
          <t>Postback OK</t>
        </is>
      </c>
    </row>
    <row r="5">
      <c r="A5" s="4" t="inlineStr">
        <is>
          <t>HT-001</t>
        </is>
      </c>
      <c r="B5" s="4" t="inlineStr">
        <is>
          <t>Hotmart</t>
        </is>
      </c>
      <c r="C5" s="4" t="inlineStr">
        <is>
          <t>Curso Y</t>
        </is>
      </c>
      <c r="D5" s="4" t="inlineStr">
        <is>
          <t>Educacao</t>
        </is>
      </c>
      <c r="E5" s="4" t="inlineStr">
        <is>
          <t>BR</t>
        </is>
      </c>
      <c r="F5" s="4" t="inlineStr">
        <is>
          <t>R$80 (50%)</t>
        </is>
      </c>
      <c r="G5" s="4" t="inlineStr">
        <is>
          <t>% comissao</t>
        </is>
      </c>
      <c r="H5" s="4" t="inlineStr">
        <is>
          <t>—</t>
        </is>
      </c>
      <c r="I5" s="4" t="inlineStr">
        <is>
          <t>Bump</t>
        </is>
      </c>
      <c r="J5" s="4" t="inlineStr">
        <is>
          <t>Ver produtor</t>
        </is>
      </c>
      <c r="K5" s="4" t="inlineStr">
        <is>
          <t>Search</t>
        </is>
      </c>
      <c r="L5" s="4" t="inlineStr">
        <is>
          <t>Direct/Lancamento</t>
        </is>
      </c>
      <c r="M5" s="4" t="inlineStr">
        <is>
          <t>Sim</t>
        </is>
      </c>
      <c r="N5" s="4" t="inlineStr">
        <is>
          <t>https://hotmart.exemplo</t>
        </is>
      </c>
      <c r="O5" s="4" t="n">
        <v>2</v>
      </c>
      <c r="P5" s="4" t="inlineStr">
        <is>
          <t>Ativa</t>
        </is>
      </c>
      <c r="Q5" s="21" t="n">
        <v>46215</v>
      </c>
      <c r="R5" s="24" t="inlineStr">
        <is>
          <t>SCALE</t>
        </is>
      </c>
      <c r="S5" s="4" t="inlineStr">
        <is>
          <t>Carrinho aberto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</sheetData>
  <autoFilter ref="A1:S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15" customWidth="1" min="4" max="4"/>
    <col width="12" customWidth="1" min="5" max="5"/>
    <col width="12" customWidth="1" min="6" max="6"/>
    <col width="15" customWidth="1" min="7" max="7"/>
    <col width="22" customWidth="1" min="8" max="8"/>
    <col width="25" customWidth="1" min="9" max="9"/>
    <col width="21" customWidth="1" min="10" max="10"/>
    <col width="22" customWidth="1" min="11" max="11"/>
    <col width="26" customWidth="1" min="12" max="12"/>
    <col width="12" customWidth="1" min="13" max="13"/>
    <col width="12" customWidth="1" min="14" max="14"/>
    <col width="14" customWidth="1" min="15" max="15"/>
    <col width="14" customWidth="1" min="16" max="16"/>
    <col width="16" customWidth="1" min="17" max="17"/>
  </cols>
  <sheetData>
    <row r="1">
      <c r="A1" s="2" t="inlineStr">
        <is>
          <t>Campanha_ID</t>
        </is>
      </c>
      <c r="B1" s="2" t="inlineStr">
        <is>
          <t>Nome_Google</t>
        </is>
      </c>
      <c r="C1" s="2" t="inlineStr">
        <is>
          <t>Tipo</t>
        </is>
      </c>
      <c r="D1" s="2" t="inlineStr">
        <is>
          <t>Rede_Afiliado</t>
        </is>
      </c>
      <c r="E1" s="2" t="inlineStr">
        <is>
          <t>Oferta_ID</t>
        </is>
      </c>
      <c r="F1" s="2" t="inlineStr">
        <is>
          <t>Geo</t>
        </is>
      </c>
      <c r="G1" s="2" t="inlineStr">
        <is>
          <t>Orcamento_Dia</t>
        </is>
      </c>
      <c r="H1" s="2" t="inlineStr">
        <is>
          <t>Estrategia_Lance</t>
        </is>
      </c>
      <c r="I1" s="2" t="inlineStr">
        <is>
          <t>Conversao_Config</t>
        </is>
      </c>
      <c r="J1" s="2" t="inlineStr">
        <is>
          <t>Valor_Conv_Estimado</t>
        </is>
      </c>
      <c r="K1" s="2" t="inlineStr">
        <is>
          <t>UTM_Campaign</t>
        </is>
      </c>
      <c r="L1" s="2" t="inlineStr">
        <is>
          <t>URL_Final_Bridge</t>
        </is>
      </c>
      <c r="M1" s="2" t="inlineStr">
        <is>
          <t>Status</t>
        </is>
      </c>
      <c r="N1" s="2" t="inlineStr">
        <is>
          <t>QS_Notas</t>
        </is>
      </c>
      <c r="O1" s="2" t="inlineStr">
        <is>
          <t>Negativas_OK</t>
        </is>
      </c>
      <c r="P1" s="2" t="inlineStr">
        <is>
          <t>Data_Criacao</t>
        </is>
      </c>
      <c r="Q1" s="2" t="inlineStr">
        <is>
          <t>Notas</t>
        </is>
      </c>
    </row>
    <row r="2">
      <c r="A2" s="4" t="inlineStr">
        <is>
          <t>CB_WL_US_SEARCH_BRIDGE_v1</t>
        </is>
      </c>
      <c r="B2" s="4" t="inlineStr">
        <is>
          <t>CB | WL | US | Search | Bridge</t>
        </is>
      </c>
      <c r="C2" s="4" t="inlineStr">
        <is>
          <t>Search</t>
        </is>
      </c>
      <c r="D2" s="4" t="inlineStr">
        <is>
          <t>ClickBank</t>
        </is>
      </c>
      <c r="E2" s="4" t="inlineStr">
        <is>
          <t>CB-001</t>
        </is>
      </c>
      <c r="F2" s="4" t="inlineStr">
        <is>
          <t>US</t>
        </is>
      </c>
      <c r="G2" s="18" t="n">
        <v>50</v>
      </c>
      <c r="H2" s="4" t="inlineStr">
        <is>
          <t>Maximizar conversões</t>
        </is>
      </c>
      <c r="I2" s="4" t="inlineStr">
        <is>
          <t>Compra (valor comissão)</t>
        </is>
      </c>
      <c r="J2" s="18" t="n">
        <v>60</v>
      </c>
      <c r="K2" s="4" t="inlineStr">
        <is>
          <t>cb_wl_us_search_v1</t>
        </is>
      </c>
      <c r="L2" s="4" t="inlineStr">
        <is>
          <t>https://seusite.com/review-alpha</t>
        </is>
      </c>
      <c r="M2" s="4" t="inlineStr">
        <is>
          <t>Ativa</t>
        </is>
      </c>
      <c r="N2" s="4" t="inlineStr">
        <is>
          <t>QS 7+</t>
        </is>
      </c>
      <c r="O2" s="4" t="inlineStr">
        <is>
          <t>Sim</t>
        </is>
      </c>
      <c r="P2" s="21" t="n">
        <v>46211</v>
      </c>
      <c r="Q2" s="4" t="inlineStr">
        <is>
          <t>Exact + phrase</t>
        </is>
      </c>
    </row>
    <row r="3">
      <c r="A3" s="4" t="inlineStr">
        <is>
          <t>MW_NUTRA_BR_YT_SL_v1</t>
        </is>
      </c>
      <c r="B3" s="4" t="inlineStr">
        <is>
          <t>MW | Nutra | BR | YT | SL</t>
        </is>
      </c>
      <c r="C3" s="4" t="inlineStr">
        <is>
          <t>YouTube</t>
        </is>
      </c>
      <c r="D3" s="4" t="inlineStr">
        <is>
          <t>MaxWeb</t>
        </is>
      </c>
      <c r="E3" s="4" t="inlineStr">
        <is>
          <t>MW-001</t>
        </is>
      </c>
      <c r="F3" s="4" t="inlineStr">
        <is>
          <t>BR</t>
        </is>
      </c>
      <c r="G3" s="18" t="n">
        <v>40</v>
      </c>
      <c r="H3" s="4" t="inlineStr">
        <is>
          <t>CPV / Max conv</t>
        </is>
      </c>
      <c r="I3" s="4" t="inlineStr">
        <is>
          <t>Lead postback</t>
        </is>
      </c>
      <c r="J3" s="18" t="n">
        <v>8</v>
      </c>
      <c r="K3" s="4" t="inlineStr">
        <is>
          <t>mw_nutra_br_yt_v1</t>
        </is>
      </c>
      <c r="L3" s="4" t="inlineStr">
        <is>
          <t>https://smartlink.maxweb/xxx</t>
        </is>
      </c>
      <c r="M3" s="4" t="inlineStr">
        <is>
          <t>Ativa</t>
        </is>
      </c>
      <c r="N3" s="4" t="inlineStr">
        <is>
          <t>—</t>
        </is>
      </c>
      <c r="O3" s="4" t="inlineStr">
        <is>
          <t>Sim</t>
        </is>
      </c>
      <c r="P3" s="21" t="n">
        <v>46212</v>
      </c>
      <c r="Q3" s="4" t="inlineStr">
        <is>
          <t>3 criativos</t>
        </is>
      </c>
    </row>
    <row r="4">
      <c r="A4" s="4" t="inlineStr">
        <is>
          <t>BG_BEAUTY_US_DGEN_v1</t>
        </is>
      </c>
      <c r="B4" s="4" t="inlineStr">
        <is>
          <t>BG | Beauty | US | DGen</t>
        </is>
      </c>
      <c r="C4" s="4" t="inlineStr">
        <is>
          <t>Demand Gen</t>
        </is>
      </c>
      <c r="D4" s="4" t="inlineStr">
        <is>
          <t>BuyGoods</t>
        </is>
      </c>
      <c r="E4" s="4" t="inlineStr">
        <is>
          <t>BG-001</t>
        </is>
      </c>
      <c r="F4" s="4" t="inlineStr">
        <is>
          <t>US</t>
        </is>
      </c>
      <c r="G4" s="18" t="n">
        <v>30</v>
      </c>
      <c r="H4" s="4" t="inlineStr">
        <is>
          <t>Max conversões</t>
        </is>
      </c>
      <c r="I4" s="4" t="inlineStr">
        <is>
          <t>Compra</t>
        </is>
      </c>
      <c r="J4" s="18" t="n">
        <v>55</v>
      </c>
      <c r="K4" s="4" t="inlineStr">
        <is>
          <t>bg_beauty_us_dgen_v1</t>
        </is>
      </c>
      <c r="L4" s="4" t="inlineStr">
        <is>
          <t>https://seusite.com/serum-x</t>
        </is>
      </c>
      <c r="M4" s="4" t="inlineStr">
        <is>
          <t>Pausada</t>
        </is>
      </c>
      <c r="N4" s="4" t="inlineStr">
        <is>
          <t>—</t>
        </is>
      </c>
      <c r="O4" s="4" t="inlineStr">
        <is>
          <t>Sim</t>
        </is>
      </c>
      <c r="P4" s="21" t="n">
        <v>46214</v>
      </c>
      <c r="Q4" s="4" t="inlineStr">
        <is>
          <t>Aguardando UGC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22" customWidth="1" min="4" max="4"/>
    <col width="11" customWidth="1" min="5" max="5"/>
    <col width="17" customWidth="1" min="6" max="6"/>
    <col width="22" customWidth="1" min="7" max="7"/>
    <col width="17" customWidth="1" min="8" max="8"/>
    <col width="17" customWidth="1" min="9" max="9"/>
    <col width="12" customWidth="1" min="10" max="10"/>
    <col width="11" customWidth="1" min="11" max="11"/>
    <col width="11" customWidth="1" min="12" max="12"/>
    <col width="22" customWidth="1" min="13" max="13"/>
    <col width="11" customWidth="1" min="14" max="14"/>
    <col width="15" customWidth="1" min="15" max="15"/>
    <col width="11" customWidth="1" min="16" max="16"/>
    <col width="20" customWidth="1" min="17" max="17"/>
    <col width="22" customWidth="1" min="18" max="18"/>
  </cols>
  <sheetData>
    <row r="1">
      <c r="A1" s="2" t="inlineStr">
        <is>
          <t>Teste_ID</t>
        </is>
      </c>
      <c r="B1" s="2" t="inlineStr">
        <is>
          <t>Data_Inicio</t>
        </is>
      </c>
      <c r="C1" s="2" t="inlineStr">
        <is>
          <t>Data_Fim</t>
        </is>
      </c>
      <c r="D1" s="2" t="inlineStr">
        <is>
          <t>Campanha_ID</t>
        </is>
      </c>
      <c r="E1" s="2" t="inlineStr">
        <is>
          <t>Rede</t>
        </is>
      </c>
      <c r="F1" s="2" t="inlineStr">
        <is>
          <t>Oferta</t>
        </is>
      </c>
      <c r="G1" s="2" t="inlineStr">
        <is>
          <t>Hipotese_Angulo</t>
        </is>
      </c>
      <c r="H1" s="2" t="inlineStr">
        <is>
          <t>Orcamento_Teste</t>
        </is>
      </c>
      <c r="I1" s="2" t="inlineStr">
        <is>
          <t>Cliques_Minimos</t>
        </is>
      </c>
      <c r="J1" s="2" t="inlineStr">
        <is>
          <t>Gasto_Real</t>
        </is>
      </c>
      <c r="K1" s="2" t="inlineStr">
        <is>
          <t>Conv</t>
        </is>
      </c>
      <c r="L1" s="2" t="inlineStr">
        <is>
          <t>Receita</t>
        </is>
      </c>
      <c r="M1" s="2" t="inlineStr">
        <is>
          <t>EPC</t>
        </is>
      </c>
      <c r="N1" s="2" t="inlineStr">
        <is>
          <t>CPC_Medio</t>
        </is>
      </c>
      <c r="O1" s="2" t="inlineStr">
        <is>
          <t>BreakEven_CPC</t>
        </is>
      </c>
      <c r="P1" s="2" t="inlineStr">
        <is>
          <t>Resultado</t>
        </is>
      </c>
      <c r="Q1" s="2" t="inlineStr">
        <is>
          <t>Proximo_Passo</t>
        </is>
      </c>
      <c r="R1" s="2" t="inlineStr">
        <is>
          <t>Aprendizado</t>
        </is>
      </c>
    </row>
    <row r="2">
      <c r="A2" s="4" t="inlineStr">
        <is>
          <t>T-001</t>
        </is>
      </c>
      <c r="B2" s="21" t="n">
        <v>46213</v>
      </c>
      <c r="C2" s="21" t="n">
        <v>46215</v>
      </c>
      <c r="D2" s="4" t="inlineStr">
        <is>
          <t>CB_WL_US_SEARCH_BRIDGE_v1</t>
        </is>
      </c>
      <c r="E2" s="4" t="inlineStr">
        <is>
          <t>ClickBank</t>
        </is>
      </c>
      <c r="F2" s="4" t="inlineStr">
        <is>
          <t>Offer Alpha WL</t>
        </is>
      </c>
      <c r="G2" s="4" t="inlineStr">
        <is>
          <t>Dor: 'não consigo emagrecer depois dos 40'</t>
        </is>
      </c>
      <c r="H2" s="18" t="n">
        <v>80</v>
      </c>
      <c r="I2" s="4" t="n">
        <v>80</v>
      </c>
      <c r="J2" s="18" t="n">
        <v>102</v>
      </c>
      <c r="K2" s="4" t="n">
        <v>3</v>
      </c>
      <c r="L2" s="18" t="n">
        <v>180</v>
      </c>
      <c r="M2" s="18">
        <f>IF(J2=0,"",L2*N2/J2)</f>
        <v/>
      </c>
      <c r="N2" s="18" t="n">
        <v>1.2</v>
      </c>
      <c r="O2" s="18" t="n">
        <v>1.5</v>
      </c>
      <c r="P2" s="24" t="inlineStr">
        <is>
          <t>SCALE</t>
        </is>
      </c>
      <c r="Q2" s="4" t="inlineStr">
        <is>
          <t>Subir budget 25%</t>
        </is>
      </c>
      <c r="R2" s="4" t="inlineStr">
        <is>
          <t>Hook idade converte</t>
        </is>
      </c>
    </row>
    <row r="3">
      <c r="A3" s="4" t="inlineStr">
        <is>
          <t>T-002</t>
        </is>
      </c>
      <c r="B3" s="21" t="n">
        <v>46214</v>
      </c>
      <c r="C3" s="21" t="n">
        <v>46216</v>
      </c>
      <c r="D3" s="4" t="inlineStr">
        <is>
          <t>CB_MM_US_SEARCH_v2</t>
        </is>
      </c>
      <c r="E3" s="4" t="inlineStr">
        <is>
          <t>ClickBank</t>
        </is>
      </c>
      <c r="F3" s="4" t="inlineStr">
        <is>
          <t>Offer Beta MMO</t>
        </is>
      </c>
      <c r="G3" s="4" t="inlineStr">
        <is>
          <t>Promessa renda extra home office</t>
        </is>
      </c>
      <c r="H3" s="18" t="n">
        <v>60</v>
      </c>
      <c r="I3" s="4" t="n">
        <v>50</v>
      </c>
      <c r="J3" s="18" t="n">
        <v>84</v>
      </c>
      <c r="K3" s="4" t="n">
        <v>0</v>
      </c>
      <c r="L3" s="18" t="n">
        <v>0</v>
      </c>
      <c r="M3" s="18">
        <f>IF(J3=0,"",L3*N3/J3)</f>
        <v/>
      </c>
      <c r="N3" s="18" t="n">
        <v>2.1</v>
      </c>
      <c r="O3" s="18" t="n">
        <v>1.8</v>
      </c>
      <c r="P3" s="26" t="inlineStr">
        <is>
          <t>KILL</t>
        </is>
      </c>
      <c r="Q3" s="4" t="inlineStr">
        <is>
          <t>Pausar oferta</t>
        </is>
      </c>
      <c r="R3" s="4" t="inlineStr">
        <is>
          <t>CPC Search MMO inviável neste geo</t>
        </is>
      </c>
    </row>
    <row r="4">
      <c r="A4" s="4" t="inlineStr">
        <is>
          <t>T-003</t>
        </is>
      </c>
      <c r="B4" s="21" t="n">
        <v>46214</v>
      </c>
      <c r="C4" s="21" t="n">
        <v>46217</v>
      </c>
      <c r="D4" s="4" t="inlineStr">
        <is>
          <t>MW_NUTRA_BR_YT_SL_v1</t>
        </is>
      </c>
      <c r="E4" s="4" t="inlineStr">
        <is>
          <t>MaxWeb</t>
        </is>
      </c>
      <c r="F4" s="4" t="inlineStr">
        <is>
          <t>Smartlink Nutra</t>
        </is>
      </c>
      <c r="G4" s="4" t="inlineStr">
        <is>
          <t>UGC depoimento 15s</t>
        </is>
      </c>
      <c r="H4" s="18" t="n">
        <v>50</v>
      </c>
      <c r="I4" s="4" t="n">
        <v>150</v>
      </c>
      <c r="J4" s="18" t="n">
        <v>99</v>
      </c>
      <c r="K4" s="4" t="n">
        <v>12</v>
      </c>
      <c r="L4" s="18" t="n">
        <v>96</v>
      </c>
      <c r="M4" s="18">
        <f>IF(J4=0,"",L4*N4/J4)</f>
        <v/>
      </c>
      <c r="N4" s="18" t="n">
        <v>0.45</v>
      </c>
      <c r="O4" s="18" t="n">
        <v>0.6</v>
      </c>
      <c r="P4" s="25" t="inlineStr">
        <is>
          <t>OTIMIZAR</t>
        </is>
      </c>
      <c r="Q4" s="4" t="inlineStr">
        <is>
          <t>Trocar 2 criativos</t>
        </is>
      </c>
      <c r="R4" s="4" t="inlineStr">
        <is>
          <t>eCPA perto do payout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18">
        <f>IF(OR(J5="",J5=0,N5=""),"",L5*N5/J5)</f>
        <v/>
      </c>
      <c r="N5" s="4" t="n"/>
      <c r="O5" s="4" t="n"/>
      <c r="P5" s="4" t="n"/>
      <c r="Q5" s="4" t="n"/>
      <c r="R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18">
        <f>IF(OR(J6="",J6=0,N6=""),"",L6*N6/J6)</f>
        <v/>
      </c>
      <c r="N6" s="4" t="n"/>
      <c r="O6" s="4" t="n"/>
      <c r="P6" s="4" t="n"/>
      <c r="Q6" s="4" t="n"/>
      <c r="R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18">
        <f>IF(OR(J7="",J7=0,N7=""),"",L7*N7/J7)</f>
        <v/>
      </c>
      <c r="N7" s="4" t="n"/>
      <c r="O7" s="4" t="n"/>
      <c r="P7" s="4" t="n"/>
      <c r="Q7" s="4" t="n"/>
      <c r="R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18">
        <f>IF(OR(J8="",J8=0,N8=""),"",L8*N8/J8)</f>
        <v/>
      </c>
      <c r="N8" s="4" t="n"/>
      <c r="O8" s="4" t="n"/>
      <c r="P8" s="4" t="n"/>
      <c r="Q8" s="4" t="n"/>
      <c r="R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18">
        <f>IF(OR(J9="",J9=0,N9=""),"",L9*N9/J9)</f>
        <v/>
      </c>
      <c r="N9" s="4" t="n"/>
      <c r="O9" s="4" t="n"/>
      <c r="P9" s="4" t="n"/>
      <c r="Q9" s="4" t="n"/>
      <c r="R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18">
        <f>IF(OR(J10="",J10=0,N10=""),"",L10*N10/J10)</f>
        <v/>
      </c>
      <c r="N10" s="4" t="n"/>
      <c r="O10" s="4" t="n"/>
      <c r="P10" s="4" t="n"/>
      <c r="Q10" s="4" t="n"/>
      <c r="R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18">
        <f>IF(OR(J11="",J11=0,N11=""),"",L11*N11/J11)</f>
        <v/>
      </c>
      <c r="N11" s="4" t="n"/>
      <c r="O11" s="4" t="n"/>
      <c r="P11" s="4" t="n"/>
      <c r="Q11" s="4" t="n"/>
      <c r="R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18">
        <f>IF(OR(J12="",J12=0,N12=""),"",L12*N12/J12)</f>
        <v/>
      </c>
      <c r="N12" s="4" t="n"/>
      <c r="O12" s="4" t="n"/>
      <c r="P12" s="4" t="n"/>
      <c r="Q12" s="4" t="n"/>
      <c r="R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18">
        <f>IF(OR(J13="",J13=0,N13=""),"",L13*N13/J13)</f>
        <v/>
      </c>
      <c r="N13" s="4" t="n"/>
      <c r="O13" s="4" t="n"/>
      <c r="P13" s="4" t="n"/>
      <c r="Q13" s="4" t="n"/>
      <c r="R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18">
        <f>IF(OR(J14="",J14=0,N14=""),"",L14*N14/J14)</f>
        <v/>
      </c>
      <c r="N14" s="4" t="n"/>
      <c r="O14" s="4" t="n"/>
      <c r="P14" s="4" t="n"/>
      <c r="Q14" s="4" t="n"/>
      <c r="R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18">
        <f>IF(OR(J15="",J15=0,N15=""),"",L15*N15/J15)</f>
        <v/>
      </c>
      <c r="N15" s="4" t="n"/>
      <c r="O15" s="4" t="n"/>
      <c r="P15" s="4" t="n"/>
      <c r="Q15" s="4" t="n"/>
      <c r="R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18">
        <f>IF(OR(J16="",J16=0,N16=""),"",L16*N16/J16)</f>
        <v/>
      </c>
      <c r="N16" s="4" t="n"/>
      <c r="O16" s="4" t="n"/>
      <c r="P16" s="4" t="n"/>
      <c r="Q16" s="4" t="n"/>
      <c r="R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18">
        <f>IF(OR(J17="",J17=0,N17=""),"",L17*N17/J17)</f>
        <v/>
      </c>
      <c r="N17" s="4" t="n"/>
      <c r="O17" s="4" t="n"/>
      <c r="P17" s="4" t="n"/>
      <c r="Q17" s="4" t="n"/>
      <c r="R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18">
        <f>IF(OR(J18="",J18=0,N18=""),"",L18*N18/J18)</f>
        <v/>
      </c>
      <c r="N18" s="4" t="n"/>
      <c r="O18" s="4" t="n"/>
      <c r="P18" s="4" t="n"/>
      <c r="Q18" s="4" t="n"/>
      <c r="R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18">
        <f>IF(OR(J19="",J19=0,N19=""),"",L19*N19/J19)</f>
        <v/>
      </c>
      <c r="N19" s="4" t="n"/>
      <c r="O19" s="4" t="n"/>
      <c r="P19" s="4" t="n"/>
      <c r="Q19" s="4" t="n"/>
      <c r="R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18">
        <f>IF(OR(J20="",J20=0,N20=""),"",L20*N20/J20)</f>
        <v/>
      </c>
      <c r="N20" s="4" t="n"/>
      <c r="O20" s="4" t="n"/>
      <c r="P20" s="4" t="n"/>
      <c r="Q20" s="4" t="n"/>
      <c r="R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18">
        <f>IF(OR(J21="",J21=0,N21=""),"",L21*N21/J21)</f>
        <v/>
      </c>
      <c r="N21" s="4" t="n"/>
      <c r="O21" s="4" t="n"/>
      <c r="P21" s="4" t="n"/>
      <c r="Q21" s="4" t="n"/>
      <c r="R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18">
        <f>IF(OR(J22="",J22=0,N22=""),"",L22*N22/J22)</f>
        <v/>
      </c>
      <c r="N22" s="4" t="n"/>
      <c r="O22" s="4" t="n"/>
      <c r="P22" s="4" t="n"/>
      <c r="Q22" s="4" t="n"/>
      <c r="R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18">
        <f>IF(OR(J23="",J23=0,N23=""),"",L23*N23/J23)</f>
        <v/>
      </c>
      <c r="N23" s="4" t="n"/>
      <c r="O23" s="4" t="n"/>
      <c r="P23" s="4" t="n"/>
      <c r="Q23" s="4" t="n"/>
      <c r="R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18">
        <f>IF(OR(J24="",J24=0,N24=""),"",L24*N24/J24)</f>
        <v/>
      </c>
      <c r="N24" s="4" t="n"/>
      <c r="O24" s="4" t="n"/>
      <c r="P24" s="4" t="n"/>
      <c r="Q24" s="4" t="n"/>
      <c r="R24" s="4" t="n"/>
    </row>
    <row r="25"/>
    <row r="26">
      <c r="A26" s="27" t="inlineStr">
        <is>
          <t>Regra prática: SCALE se EPC &gt;= 1.3 × CPC (ou eCPA &lt; payout com margem) após cliques mínimos. KILL se sem conversão e gasto &gt;= orçamento teste. OTIMIZAR se no meio.</t>
        </is>
      </c>
    </row>
  </sheetData>
  <mergeCells count="1">
    <mergeCell ref="A26:R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36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</cols>
  <sheetData>
    <row r="1">
      <c r="A1" s="28" t="inlineStr">
        <is>
          <t>MAXWEB — Checklist de Tracking / Postback</t>
        </is>
      </c>
    </row>
    <row r="2"/>
    <row r="3">
      <c r="A3" s="2" t="inlineStr">
        <is>
          <t>Item</t>
        </is>
      </c>
      <c r="B3" s="2" t="inlineStr">
        <is>
          <t>Status</t>
        </is>
      </c>
      <c r="C3" s="2" t="inlineStr">
        <is>
          <t>Valor / URL / Nota</t>
        </is>
      </c>
      <c r="D3" s="2" t="inlineStr">
        <is>
          <t>OK?</t>
        </is>
      </c>
    </row>
    <row r="4">
      <c r="A4" s="4" t="inlineStr">
        <is>
          <t>Conta MaxWeb ativa</t>
        </is>
      </c>
      <c r="B4" s="25" t="inlineStr">
        <is>
          <t>Pendente</t>
        </is>
      </c>
      <c r="C4" s="4" t="inlineStr">
        <is>
          <t>login / manager</t>
        </is>
      </c>
      <c r="D4" s="29" t="inlineStr"/>
    </row>
    <row r="5">
      <c r="A5" s="4" t="inlineStr">
        <is>
          <t>Offer ou Smartlink escolhido</t>
        </is>
      </c>
      <c r="B5" s="25" t="inlineStr">
        <is>
          <t>Pendente</t>
        </is>
      </c>
      <c r="C5" s="4" t="inlineStr">
        <is>
          <t>ID da offer</t>
        </is>
      </c>
      <c r="D5" s="29" t="inlineStr"/>
    </row>
    <row r="6">
      <c r="A6" s="4" t="inlineStr">
        <is>
          <t>Tracking template / token clickid</t>
        </is>
      </c>
      <c r="B6" s="25" t="inlineStr">
        <is>
          <t>Pendente</t>
        </is>
      </c>
      <c r="C6" s="4" t="inlineStr">
        <is>
          <t>ex: {clickid} ou subid</t>
        </is>
      </c>
      <c r="D6" s="29" t="inlineStr"/>
    </row>
    <row r="7">
      <c r="A7" s="4" t="inlineStr">
        <is>
          <t>URL de postback configurada</t>
        </is>
      </c>
      <c r="B7" s="25" t="inlineStr">
        <is>
          <t>Pendente</t>
        </is>
      </c>
      <c r="C7" s="4" t="inlineStr">
        <is>
          <t>https://sua-rede-ou-tracker/...</t>
        </is>
      </c>
      <c r="D7" s="29" t="inlineStr"/>
    </row>
    <row r="8">
      <c r="A8" s="4" t="inlineStr">
        <is>
          <t>Parametros payout / event</t>
        </is>
      </c>
      <c r="B8" s="25" t="inlineStr">
        <is>
          <t>Pendente</t>
        </is>
      </c>
      <c r="C8" s="4" t="inlineStr">
        <is>
          <t>lead, sale, revshare</t>
        </is>
      </c>
      <c r="D8" s="29" t="inlineStr"/>
    </row>
    <row r="9">
      <c r="A9" s="4" t="inlineStr">
        <is>
          <t>Teste de conversão manual</t>
        </is>
      </c>
      <c r="B9" s="25" t="inlineStr">
        <is>
          <t>Pendente</t>
        </is>
      </c>
      <c r="C9" s="4" t="inlineStr">
        <is>
          <t>1 lead/sale teste</t>
        </is>
      </c>
      <c r="D9" s="29" t="inlineStr"/>
    </row>
    <row r="10">
      <c r="A10" s="4" t="inlineStr">
        <is>
          <t>Match rate Google vs MaxWeb</t>
        </is>
      </c>
      <c r="B10" s="25" t="inlineStr">
        <is>
          <t>Pendente</t>
        </is>
      </c>
      <c r="C10" s="4" t="inlineStr">
        <is>
          <t>meta &gt; 85%</t>
        </is>
      </c>
      <c r="D10" s="29" t="inlineStr"/>
    </row>
    <row r="11">
      <c r="A11" s="4" t="inlineStr">
        <is>
          <t>Pixel Google Ads / GTM</t>
        </is>
      </c>
      <c r="B11" s="25" t="inlineStr">
        <is>
          <t>Pendente</t>
        </is>
      </c>
      <c r="C11" s="4" t="inlineStr">
        <is>
          <t>conversion action</t>
        </is>
      </c>
      <c r="D11" s="29" t="inlineStr"/>
    </row>
    <row r="12">
      <c r="A12" s="4" t="inlineStr">
        <is>
          <t>UTMs padronizados</t>
        </is>
      </c>
      <c r="B12" s="25" t="inlineStr">
        <is>
          <t>Pendente</t>
        </is>
      </c>
      <c r="C12" s="4" t="inlineStr">
        <is>
          <t>utm_campaign = Campanha_ID</t>
        </is>
      </c>
      <c r="D12" s="29" t="inlineStr"/>
    </row>
    <row r="13">
      <c r="A13" s="4" t="inlineStr">
        <is>
          <t>Held / Rejected monitorado</t>
        </is>
      </c>
      <c r="B13" s="25" t="inlineStr">
        <is>
          <t>Pendente</t>
        </is>
      </c>
      <c r="C13" s="4" t="inlineStr">
        <is>
          <t>revisar 1x/semana</t>
        </is>
      </c>
      <c r="D13" s="29" t="inlineStr"/>
    </row>
    <row r="14">
      <c r="A14" s="4" t="inlineStr">
        <is>
          <t>eCPA vs Payout documentado</t>
        </is>
      </c>
      <c r="B14" s="25" t="inlineStr">
        <is>
          <t>Pendente</t>
        </is>
      </c>
      <c r="C14" s="4" t="inlineStr">
        <is>
          <t>aba Diario</t>
        </is>
      </c>
      <c r="D14" s="29" t="inlineStr"/>
    </row>
    <row r="15">
      <c r="A15" s="4" t="inlineStr">
        <is>
          <t>Geo e device alinhados à offer</t>
        </is>
      </c>
      <c r="B15" s="25" t="inlineStr">
        <is>
          <t>Pendente</t>
        </is>
      </c>
      <c r="C15" s="4" t="inlineStr">
        <is>
          <t>sem tráfego inválido</t>
        </is>
      </c>
      <c r="D15" s="29" t="inlineStr"/>
    </row>
    <row r="16"/>
    <row r="17">
      <c r="A17" s="5" t="inlineStr">
        <is>
          <t>LOG DE CONVERSÕES (cole do painel ou tracker)</t>
        </is>
      </c>
    </row>
    <row r="18">
      <c r="A18" s="2" t="inlineStr">
        <is>
          <t>Data_Hora</t>
        </is>
      </c>
      <c r="B18" s="2" t="inlineStr">
        <is>
          <t>ClickID</t>
        </is>
      </c>
      <c r="C18" s="2" t="inlineStr">
        <is>
          <t>Offer</t>
        </is>
      </c>
      <c r="D18" s="2" t="inlineStr">
        <is>
          <t>Evento</t>
        </is>
      </c>
      <c r="E18" s="2" t="inlineStr">
        <is>
          <t>Payout</t>
        </is>
      </c>
      <c r="F18" s="2" t="inlineStr">
        <is>
          <t>Status</t>
        </is>
      </c>
      <c r="G18" s="2" t="inlineStr">
        <is>
          <t>Campanha_Google</t>
        </is>
      </c>
      <c r="H18" s="2" t="inlineStr">
        <is>
          <t>Obs</t>
        </is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/>
    <row r="41">
      <c r="A41" s="27" t="inlineStr">
        <is>
          <t>Fórmula mental: Lucro MaxWeb ≈ Soma(Payout aprovado) − Gasto Google − Clawbacks. Não escale com held alto.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42" customWidth="1" min="3" max="3"/>
  </cols>
  <sheetData>
    <row r="1">
      <c r="A1" s="28" t="inlineStr">
        <is>
          <t>CALCULADORA BREAK-EVEN (Afiliado + Google Ads)</t>
        </is>
      </c>
    </row>
    <row r="3">
      <c r="A3" s="30" t="inlineStr">
        <is>
          <t>Entradas</t>
        </is>
      </c>
    </row>
    <row r="4">
      <c r="A4" s="4" t="inlineStr">
        <is>
          <t>Comissão média por venda/lead</t>
        </is>
      </c>
      <c r="B4" s="31" t="n">
        <v>60</v>
      </c>
      <c r="C4" t="inlineStr">
        <is>
          <t>← edite</t>
        </is>
      </c>
    </row>
    <row r="5">
      <c r="A5" s="4" t="inlineStr">
        <is>
          <t>Refund / clawback estimado</t>
        </is>
      </c>
      <c r="B5" s="32" t="n">
        <v>0.1</v>
      </c>
      <c r="C5" t="inlineStr">
        <is>
          <t>← edite</t>
        </is>
      </c>
    </row>
    <row r="6">
      <c r="A6" s="4" t="inlineStr">
        <is>
          <t>CVR (click → conversão)</t>
        </is>
      </c>
      <c r="B6" s="33" t="n">
        <v>0.02</v>
      </c>
      <c r="C6" t="inlineStr">
        <is>
          <t>← edite</t>
        </is>
      </c>
    </row>
    <row r="7">
      <c r="A7" s="4" t="inlineStr">
        <is>
          <t>Fator margem (1.3 = SCALE threshold)</t>
        </is>
      </c>
      <c r="B7" s="34" t="n">
        <v>1.3</v>
      </c>
      <c r="C7" t="inlineStr">
        <is>
          <t>← edite</t>
        </is>
      </c>
    </row>
    <row r="8">
      <c r="A8" s="4" t="n"/>
    </row>
    <row r="9">
      <c r="A9" s="35" t="inlineStr">
        <is>
          <t>Resultados</t>
        </is>
      </c>
      <c r="B9" s="4" t="n"/>
    </row>
    <row r="10">
      <c r="A10" s="4" t="inlineStr">
        <is>
          <t>Comissão líquida (após refund)</t>
        </is>
      </c>
      <c r="B10" s="36">
        <f>B4*(1-B5)</f>
        <v/>
      </c>
    </row>
    <row r="11">
      <c r="A11" s="4" t="inlineStr">
        <is>
          <t>EPC break-even (comissao_liq × CVR)</t>
        </is>
      </c>
      <c r="B11" s="37">
        <f>B10*B6</f>
        <v/>
      </c>
    </row>
    <row r="12">
      <c r="A12" s="4" t="inlineStr">
        <is>
          <t>CPC máximo break-even</t>
        </is>
      </c>
      <c r="B12" s="38">
        <f>B11</f>
        <v/>
      </c>
      <c r="C12" t="inlineStr">
        <is>
          <t>CPC deve ser &lt; este valor para não perder</t>
        </is>
      </c>
    </row>
    <row r="13">
      <c r="A13" s="4" t="inlineStr">
        <is>
          <t>CPC alvo para SCALE (BE / margem)</t>
        </is>
      </c>
      <c r="B13" s="38">
        <f>B12/B7</f>
        <v/>
      </c>
      <c r="C13" t="inlineStr">
        <is>
          <t>Meta prática de CPC para escalar</t>
        </is>
      </c>
    </row>
    <row r="14">
      <c r="A14" s="4" t="inlineStr">
        <is>
          <t>eCPA máximo (≈ comissão líquida)</t>
        </is>
      </c>
      <c r="B14" s="36">
        <f>B10</f>
        <v/>
      </c>
      <c r="C14" t="inlineStr">
        <is>
          <t>Para MaxWeb CPL/CPA: eCPA &lt; payout líquido</t>
        </is>
      </c>
    </row>
    <row r="16">
      <c r="A16" s="6" t="inlineStr">
        <is>
          <t>Exemplo rápido</t>
        </is>
      </c>
    </row>
    <row r="17">
      <c r="A17" s="20" t="inlineStr">
        <is>
          <t>Se comissão R$60, refund 10%, CVR 2% → comissão líq R$54 → EPC BE R$1,08 → CPC SCALE alvo ≈ R$0,83 com margem 1.3</t>
        </is>
      </c>
    </row>
    <row r="19">
      <c r="A19" s="39" t="inlineStr">
        <is>
          <t>Tabela de sensibilidade CVR × CPC máx (comissão e refund das células B4/B5)</t>
        </is>
      </c>
    </row>
    <row r="20">
      <c r="A20" s="2" t="inlineStr">
        <is>
          <t>CVR</t>
        </is>
      </c>
      <c r="B20" s="2" t="inlineStr">
        <is>
          <t>CPC máx BE</t>
        </is>
      </c>
      <c r="C20" s="2" t="inlineStr">
        <is>
          <t>CPC alvo SCALE</t>
        </is>
      </c>
    </row>
    <row r="21">
      <c r="A21" s="23" t="n">
        <v>0.005</v>
      </c>
      <c r="B21" s="40">
        <f>$B$10*A21</f>
        <v/>
      </c>
      <c r="C21" s="40">
        <f>B21/$B$7</f>
        <v/>
      </c>
    </row>
    <row r="22">
      <c r="A22" s="23" t="n">
        <v>0.01</v>
      </c>
      <c r="B22" s="40">
        <f>$B$10*A22</f>
        <v/>
      </c>
      <c r="C22" s="40">
        <f>B22/$B$7</f>
        <v/>
      </c>
    </row>
    <row r="23">
      <c r="A23" s="23" t="n">
        <v>0.015</v>
      </c>
      <c r="B23" s="40">
        <f>$B$10*A23</f>
        <v/>
      </c>
      <c r="C23" s="40">
        <f>B23/$B$7</f>
        <v/>
      </c>
    </row>
    <row r="24">
      <c r="A24" s="23" t="n">
        <v>0.02</v>
      </c>
      <c r="B24" s="40">
        <f>$B$10*A24</f>
        <v/>
      </c>
      <c r="C24" s="40">
        <f>B24/$B$7</f>
        <v/>
      </c>
    </row>
    <row r="25">
      <c r="A25" s="23" t="n">
        <v>0.025</v>
      </c>
      <c r="B25" s="40">
        <f>$B$10*A25</f>
        <v/>
      </c>
      <c r="C25" s="40">
        <f>B25/$B$7</f>
        <v/>
      </c>
    </row>
    <row r="26">
      <c r="A26" s="23" t="n">
        <v>0.03</v>
      </c>
      <c r="B26" s="40">
        <f>$B$10*A26</f>
        <v/>
      </c>
      <c r="C26" s="40">
        <f>B26/$B$7</f>
        <v/>
      </c>
    </row>
    <row r="27">
      <c r="A27" s="23" t="n">
        <v>0.04</v>
      </c>
      <c r="B27" s="40">
        <f>$B$10*A27</f>
        <v/>
      </c>
      <c r="C27" s="40">
        <f>B27/$B$7</f>
        <v/>
      </c>
    </row>
    <row r="28">
      <c r="A28" s="23" t="n">
        <v>0.05</v>
      </c>
      <c r="B28" s="40">
        <f>$B$10*A28</f>
        <v/>
      </c>
      <c r="C28" s="40">
        <f>B28/$B$7</f>
        <v/>
      </c>
    </row>
  </sheetData>
  <mergeCells count="2">
    <mergeCell ref="A1:C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2026-07-15T02:12:23Z</dcterms:created>
  <dcterms:modified xmlns:dcterms="http://purl.org/dc/terms/" xmlns:xsi="http://www.w3.org/2001/XMLSchema-instance" xsi:type="dcterms:W3CDTF">2026-07-15T02:12:23Z</dcterms:modified>
</cp:coreProperties>
</file>